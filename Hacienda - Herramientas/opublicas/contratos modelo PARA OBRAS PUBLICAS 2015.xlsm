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600" yWindow="708" windowWidth="13992" windowHeight="7788" activeTab="2"/>
  </bookViews>
  <sheets>
    <sheet name="Adelanto" sheetId="1" r:id="rId1"/>
    <sheet name="Datos" sheetId="3" r:id="rId2"/>
    <sheet name="Hoja3" sheetId="7" r:id="rId3"/>
    <sheet name="Registro" sheetId="4" r:id="rId4"/>
    <sheet name="cargadatos" sheetId="5" r:id="rId5"/>
  </sheets>
  <functionGroups/>
  <externalReferences>
    <externalReference r:id="rId6"/>
  </externalReferences>
  <definedNames>
    <definedName name="_xlnm._FilterDatabase" localSheetId="1" hidden="1">Datos!$A$1:$A$129</definedName>
    <definedName name="_xlnm._FilterDatabase" localSheetId="2" hidden="1">Hoja3!$A$1:$K$213</definedName>
    <definedName name="_xlnm.Print_Area" localSheetId="0">Adelanto!$A$1:$AJ$64</definedName>
    <definedName name="Empleados">Datos!$A$2:$A$129</definedName>
    <definedName name="Fecha">Datos!#REF!</definedName>
    <definedName name="Mes">Datos!$B$1:$B$14</definedName>
    <definedName name="personal">[1]Contratados!$A:$A</definedName>
    <definedName name="TODOS">[1]ADELANTOS!$A$93:$A$202</definedName>
  </definedNames>
  <calcPr calcId="124519"/>
</workbook>
</file>

<file path=xl/calcChain.xml><?xml version="1.0" encoding="utf-8"?>
<calcChain xmlns="http://schemas.openxmlformats.org/spreadsheetml/2006/main">
  <c r="C211" i="7"/>
  <c r="C164"/>
  <c r="C162"/>
  <c r="AE32" i="1"/>
  <c r="B28"/>
  <c r="B26"/>
  <c r="AB50"/>
  <c r="P18"/>
  <c r="B6"/>
  <c r="E16"/>
  <c r="B30"/>
  <c r="R16"/>
  <c r="B18"/>
  <c r="T14"/>
  <c r="Z16"/>
  <c r="C158" i="7" l="1"/>
  <c r="C152" l="1"/>
  <c r="C151"/>
  <c r="C150"/>
  <c r="C149"/>
  <c r="C126" l="1"/>
  <c r="C125"/>
  <c r="C124"/>
  <c r="C123"/>
  <c r="C122"/>
  <c r="C121"/>
  <c r="C120"/>
  <c r="C127"/>
  <c r="C102" l="1"/>
  <c r="C97" l="1"/>
  <c r="C96"/>
  <c r="C95"/>
  <c r="C94"/>
  <c r="C93"/>
  <c r="C90"/>
  <c r="C92"/>
  <c r="C91"/>
  <c r="C73" l="1"/>
  <c r="C63" l="1"/>
  <c r="C62" l="1"/>
  <c r="C61" l="1"/>
  <c r="C60" l="1"/>
  <c r="C59" l="1"/>
  <c r="C50" l="1"/>
  <c r="C49" l="1"/>
  <c r="C47" l="1"/>
  <c r="C7"/>
  <c r="C13"/>
  <c r="C26"/>
  <c r="C5"/>
  <c r="C41"/>
  <c r="C20"/>
  <c r="C9"/>
  <c r="C32"/>
  <c r="C24"/>
  <c r="C34"/>
  <c r="C15"/>
  <c r="C28"/>
  <c r="C38"/>
  <c r="C36"/>
  <c r="C3"/>
  <c r="C17" l="1"/>
  <c r="C10"/>
  <c r="C4"/>
  <c r="C12"/>
  <c r="C25"/>
  <c r="C16"/>
  <c r="C19"/>
  <c r="C8"/>
  <c r="C31"/>
  <c r="C23"/>
  <c r="C33"/>
  <c r="C14"/>
  <c r="C27"/>
  <c r="C37"/>
  <c r="C35"/>
  <c r="C2"/>
  <c r="C34" i="1"/>
  <c r="B24" l="1"/>
</calcChain>
</file>

<file path=xl/sharedStrings.xml><?xml version="1.0" encoding="utf-8"?>
<sst xmlns="http://schemas.openxmlformats.org/spreadsheetml/2006/main" count="1831" uniqueCount="741">
  <si>
    <t>Nombre</t>
  </si>
  <si>
    <t>Monto</t>
  </si>
  <si>
    <t>Albornoz, Leonardo</t>
  </si>
  <si>
    <t>Altamirano, Daniel</t>
  </si>
  <si>
    <t>Altamirano, Patricia</t>
  </si>
  <si>
    <t>Altamirano, Mauricio Gaston</t>
  </si>
  <si>
    <t>Andrada, Carlos Enrique</t>
  </si>
  <si>
    <t>Arguello, Giselle</t>
  </si>
  <si>
    <t>Arguello, Rubén Guillermo</t>
  </si>
  <si>
    <t>Arguello, Victor Oscar</t>
  </si>
  <si>
    <t>Assis, Victor</t>
  </si>
  <si>
    <t>Astorga, Andrés</t>
  </si>
  <si>
    <t>Avaca, Walter Emir</t>
  </si>
  <si>
    <t>Avila, Silvia Graciela</t>
  </si>
  <si>
    <t>Baigorria, Mario Humberto</t>
  </si>
  <si>
    <t>Barroso, Mario Andres</t>
  </si>
  <si>
    <t>Barruty, Nancy</t>
  </si>
  <si>
    <t>Bazán, Luis Antonio</t>
  </si>
  <si>
    <t>Bonfiglio, María Esther</t>
  </si>
  <si>
    <t>Bustos Reynoso, Maria Antonella</t>
  </si>
  <si>
    <t>Bustos, Elena</t>
  </si>
  <si>
    <t>Castro, Mónica Marcela</t>
  </si>
  <si>
    <t>Ceballos, Miguel Angel</t>
  </si>
  <si>
    <t>Ceballos, Miguel Antonio</t>
  </si>
  <si>
    <t>Cejas, Mario</t>
  </si>
  <si>
    <t>Dominguez, Lucía</t>
  </si>
  <si>
    <t>Dominguez, Pedro José</t>
  </si>
  <si>
    <t>Escudero, Marcela</t>
  </si>
  <si>
    <t>Escudero, Silvia</t>
  </si>
  <si>
    <t xml:space="preserve">Ferrero, Fabian </t>
  </si>
  <si>
    <t>Ferrero, Pablo Ariel</t>
  </si>
  <si>
    <t>Ferreyra, Celsa</t>
  </si>
  <si>
    <t>Fúnes, Evangelina</t>
  </si>
  <si>
    <t>Gallardo, Hipólito</t>
  </si>
  <si>
    <t>Gómes, Celeste</t>
  </si>
  <si>
    <t>Heredia, Maria Ines</t>
  </si>
  <si>
    <t>Hualpa, Cesar</t>
  </si>
  <si>
    <t>Iriarte, Raul</t>
  </si>
  <si>
    <t>Leyría, Luis Alberto</t>
  </si>
  <si>
    <t>Leyría, Rosario</t>
  </si>
  <si>
    <t>Ligorria, Alejandro</t>
  </si>
  <si>
    <t>Ligorria, Claudia</t>
  </si>
  <si>
    <t>López, Verónica Patricia</t>
  </si>
  <si>
    <t>Maldonado, Victor Hugo</t>
  </si>
  <si>
    <t>Maldonado, Walter</t>
  </si>
  <si>
    <t>Mancera, Maximiliano</t>
  </si>
  <si>
    <t>Miranda, Carlos</t>
  </si>
  <si>
    <t>Miranda, Carolina</t>
  </si>
  <si>
    <t>Molina, Aldo</t>
  </si>
  <si>
    <t>Molina, Julio</t>
  </si>
  <si>
    <t>Montenegro, Luciana</t>
  </si>
  <si>
    <t>Mores, Nelson Exequiel</t>
  </si>
  <si>
    <t>Oliva, Guillermo</t>
  </si>
  <si>
    <t>Oliva, Laura Inés</t>
  </si>
  <si>
    <t>Olmedo, Alberto</t>
  </si>
  <si>
    <t>Olmedo, Ariana Noelia</t>
  </si>
  <si>
    <t>Olmedo, Mónica</t>
  </si>
  <si>
    <t>Olmedo, Victor Daniel</t>
  </si>
  <si>
    <t>Ortega, Jorge Enrique</t>
  </si>
  <si>
    <t>Ortega, Matias Ezequiel</t>
  </si>
  <si>
    <t>ORTIZ, Carolina Cecilia del Rosario</t>
  </si>
  <si>
    <t>Ortiz, Flora del Valle</t>
  </si>
  <si>
    <t>Ortiz, José Dionisio</t>
  </si>
  <si>
    <t>Oviedo, Javier Omar</t>
  </si>
  <si>
    <t>Oviedo, Jorge Eduardo</t>
  </si>
  <si>
    <t>Oviedo, Pablo</t>
  </si>
  <si>
    <t>Oviedo, Teresita</t>
  </si>
  <si>
    <t>Pereyra Varas, Maria Celeste</t>
  </si>
  <si>
    <t>Pereyra, Jorge Omar</t>
  </si>
  <si>
    <t>Perez, Erica Soledad</t>
  </si>
  <si>
    <t>Perez, Matías</t>
  </si>
  <si>
    <t>Perez, Miriam Natalia</t>
  </si>
  <si>
    <t>Ramirez, Adrian</t>
  </si>
  <si>
    <t>Ramirez, Diego Alberto</t>
  </si>
  <si>
    <t>Ramirez, Domingo Alberto</t>
  </si>
  <si>
    <t>Ramirez, Luis</t>
  </si>
  <si>
    <t>Rébora, Enrique Facundo</t>
  </si>
  <si>
    <t>Rébora, Enrique Rodolfo</t>
  </si>
  <si>
    <t>Rivero, Julio Cesar</t>
  </si>
  <si>
    <t>Rodriguez, Mario Horacio</t>
  </si>
  <si>
    <t>Romero, Mónica</t>
  </si>
  <si>
    <t>Romero, Raquel</t>
  </si>
  <si>
    <t>Roveres, Martín</t>
  </si>
  <si>
    <t>Ruiz Barruti, Princesa</t>
  </si>
  <si>
    <t>Salgado, Carlos Alberto</t>
  </si>
  <si>
    <t>Sanchez, Carlos Adan</t>
  </si>
  <si>
    <t>Santillán, José</t>
  </si>
  <si>
    <t>Sosa, Angel Eduardo</t>
  </si>
  <si>
    <t>Sosa, Claudia Marta</t>
  </si>
  <si>
    <t>Sosa, María Alejandra</t>
  </si>
  <si>
    <t>Sosa, Noel Armando</t>
  </si>
  <si>
    <t>Tapia, Omar</t>
  </si>
  <si>
    <t>Vallejo, Carlos Rufino</t>
  </si>
  <si>
    <t>Vergara, Lilia Ines</t>
  </si>
  <si>
    <t>Yriarte, Marisa</t>
  </si>
  <si>
    <t>Zapata, Eliana Gisela</t>
  </si>
  <si>
    <t>Empleado</t>
  </si>
  <si>
    <t>Muñoz, Susana Raquel</t>
  </si>
  <si>
    <t>Sanchez, Daniela Karina</t>
  </si>
  <si>
    <t>Sanchez, Norma Beatriz</t>
  </si>
  <si>
    <t>Olmedo, Maria Gabriela</t>
  </si>
  <si>
    <t>Ramirez, Facundo</t>
  </si>
  <si>
    <t>Gauna, Roxana</t>
  </si>
  <si>
    <t>Pereyra, Liliana</t>
  </si>
  <si>
    <t>Martinez, Jose</t>
  </si>
  <si>
    <t>Cohen, Maria de los Angeles</t>
  </si>
  <si>
    <t>Olmos, Angélica no</t>
  </si>
  <si>
    <t>Fozzatti, Julio Alberto no</t>
  </si>
  <si>
    <t>Milanesio, Ruben Dario</t>
  </si>
  <si>
    <t>Reymundo, Rodolfo Rogelio no</t>
  </si>
  <si>
    <t>Arrascaeta, Raul Abel no</t>
  </si>
  <si>
    <t>Olmedo, Raul Alberto no</t>
  </si>
  <si>
    <t>Avaca, Elsa Rosa no</t>
  </si>
  <si>
    <t>Bazán, Fabio no</t>
  </si>
  <si>
    <t>Lopez, Maria Fernanda no</t>
  </si>
  <si>
    <t>Cruz, Judith no</t>
  </si>
  <si>
    <t>Altamirano, Viviana no</t>
  </si>
  <si>
    <t>DNI</t>
  </si>
  <si>
    <t>DESCRIPCION</t>
  </si>
  <si>
    <t>Aguirre, Claudio Manuel</t>
  </si>
  <si>
    <t>para comprar cajas de anestesia</t>
  </si>
  <si>
    <t>para tela para pasacalle</t>
  </si>
  <si>
    <t>En la localidad de Villa de las Rosas, Dpto. San Javier, Provincia de Córdoba, a</t>
  </si>
  <si>
    <t>LEONARDO ALBORNOZ</t>
  </si>
  <si>
    <t xml:space="preserve">, DNI N° </t>
  </si>
  <si>
    <t>22,104,088</t>
  </si>
  <si>
    <t xml:space="preserve">, en su carácter de Secretario de </t>
  </si>
  <si>
    <t>Gobierno y Hacienda; y por la otra parte</t>
  </si>
  <si>
    <t xml:space="preserve">, domiciliado en calle </t>
  </si>
  <si>
    <t>de la localidad de</t>
  </si>
  <si>
    <r>
      <t xml:space="preserve"> domicilio legal en la calle Guasmara Este N° 93 </t>
    </r>
    <r>
      <rPr>
        <i/>
        <sz val="10"/>
        <rFont val="Segoe UI"/>
        <family val="2"/>
      </rPr>
      <t xml:space="preserve">en este acto </t>
    </r>
    <r>
      <rPr>
        <sz val="10"/>
        <rFont val="Segoe UI"/>
        <family val="2"/>
      </rPr>
      <t>representada por el Sr.</t>
    </r>
  </si>
  <si>
    <t>, entre la Municipalidad de Villa de las Rosas, con</t>
  </si>
  <si>
    <t xml:space="preserve">para el siguiente trabajo: </t>
  </si>
  <si>
    <r>
      <rPr>
        <b/>
        <sz val="10"/>
        <rFont val="Segoe UI"/>
        <family val="2"/>
      </rPr>
      <t>PRIMERA:</t>
    </r>
    <r>
      <rPr>
        <sz val="10"/>
        <rFont val="Segoe UI"/>
        <family val="2"/>
      </rPr>
      <t xml:space="preserve"> Objeto: La Municipalidad de Villa de Las Rosas contrata los servicios del señor</t>
    </r>
    <r>
      <rPr>
        <sz val="14"/>
        <rFont val="Times New Roman"/>
        <family val="1"/>
      </rPr>
      <t xml:space="preserve"> </t>
    </r>
  </si>
  <si>
    <t>Apellido y Nombres</t>
  </si>
  <si>
    <t>Nº Documento</t>
  </si>
  <si>
    <t>precio</t>
  </si>
  <si>
    <t xml:space="preserve">Pereyra, Exequiel </t>
  </si>
  <si>
    <t>Dominguez, Sergio Alberto</t>
  </si>
  <si>
    <t xml:space="preserve">Hualpa, Natalia </t>
  </si>
  <si>
    <t xml:space="preserve">Oviedo, Pablo </t>
  </si>
  <si>
    <t>Gonzalez, Nora</t>
  </si>
  <si>
    <t xml:space="preserve">Villalobos, Mario </t>
  </si>
  <si>
    <t>domicilio</t>
  </si>
  <si>
    <t xml:space="preserve">localidad </t>
  </si>
  <si>
    <t xml:space="preserve">provincia </t>
  </si>
  <si>
    <t>Villa de las Rosas</t>
  </si>
  <si>
    <t>numero</t>
  </si>
  <si>
    <t>s/n</t>
  </si>
  <si>
    <t xml:space="preserve">provincia de </t>
  </si>
  <si>
    <t xml:space="preserve">convienen celebrar el presente </t>
  </si>
  <si>
    <t>renglon1</t>
  </si>
  <si>
    <t>renglon2</t>
  </si>
  <si>
    <t>renglon3</t>
  </si>
  <si>
    <t>(</t>
  </si>
  <si>
    <t>)</t>
  </si>
  <si>
    <t>TERCERA: El contratista libera en forma expresa a esta Municipalidad de todo tipo de respon-</t>
  </si>
  <si>
    <t xml:space="preserve">sabilidad por las consecuencias que pudieran derivarse de accidentes que sufra el mismo o </t>
  </si>
  <si>
    <t>los empleados a su cargo como así también la maquinaria. De igual manera el contratante</t>
  </si>
  <si>
    <t>queda liberada de las obligaciones derivadas de las aplicaciones de las leyes Provinciales, aportes, cargas sociales, impositivas nacionales y provinciales, etc., todos estos serán asumidos en forma exclusiva por la contratista tanto en lo que respecta a su persona como a los empleados a contratar.</t>
  </si>
  <si>
    <t>Eventos de la Plaza San Martin a $20/hora ---------------------------------------------------------------------</t>
  </si>
  <si>
    <r>
      <rPr>
        <b/>
        <sz val="10"/>
        <rFont val="Segoe UI"/>
        <family val="2"/>
      </rPr>
      <t>QUINTA:</t>
    </r>
    <r>
      <rPr>
        <sz val="10"/>
        <rFont val="Segoe UI"/>
        <family val="2"/>
      </rPr>
      <t xml:space="preserve"> Cualquier tarea adicional que surgiera no se le reconocerá al contratista si no ha sido autorizada expresamente. </t>
    </r>
  </si>
  <si>
    <t>publica</t>
  </si>
  <si>
    <t>Còrdoba</t>
  </si>
  <si>
    <t xml:space="preserve"> '--------------------------------------------------------------------------------------------------------------------------------</t>
  </si>
  <si>
    <t xml:space="preserve"> 263 horas trabajadas en Balneario Guasmara a $15,25/hora mas 20 horas trabajadas en</t>
  </si>
  <si>
    <t xml:space="preserve"> 234 horas trabajadas en Balneario Guasmara a $15,25/hora mas 07 horas trabajadas en</t>
  </si>
  <si>
    <t xml:space="preserve"> 231 horas trabajadas en Balneario Guasmara a $15,25/hora ------------------------------------------</t>
  </si>
  <si>
    <t xml:space="preserve"> -----------------------------------------------------------------------------------------------------------------------------------</t>
  </si>
  <si>
    <t xml:space="preserve"> 238 horas trabajadas en Balneario Guasmara a $15,25/hora ------------------------------------------</t>
  </si>
  <si>
    <t xml:space="preserve"> 223 horas trabajadas en Balneario Guasmara a $15,25/hora ------------------------------------------</t>
  </si>
  <si>
    <t xml:space="preserve"> 181 horas trabajadas en Balneario Guasmara a $15,25/hora ------------------------------------------</t>
  </si>
  <si>
    <t xml:space="preserve"> 217 horas trabajadas en Balneario Guasmara a $15,25/hora ------------------------------------------</t>
  </si>
  <si>
    <t xml:space="preserve"> 294 horas trabajadas en Balneario Guasmara a $15,25/hora ------------------------------------------</t>
  </si>
  <si>
    <t xml:space="preserve">Trabajos realizados de mantenimiento en Balneario Gasmara contratado por mes </t>
  </si>
  <si>
    <t xml:space="preserve">Trabajo Realizado de Guardia Nocturna en Balneario Guasmara Contratado por mes </t>
  </si>
  <si>
    <t xml:space="preserve"> 80,5 horas trabajadas en transitoa $15,25/hora ------------------------------------------</t>
  </si>
  <si>
    <t xml:space="preserve">Garcia, Adriana </t>
  </si>
  <si>
    <t xml:space="preserve">Merino, Carlos Alberto </t>
  </si>
  <si>
    <t xml:space="preserve"> 110,5 horas trabajadas en transito a $15,25/hora ------------------------------------------</t>
  </si>
  <si>
    <t xml:space="preserve">Arguello, Gabriela </t>
  </si>
  <si>
    <t xml:space="preserve"> 128 horas trabajadas en transito a $15,25/hora ------------------------------------------</t>
  </si>
  <si>
    <t>FLEITA, ADRIAN</t>
  </si>
  <si>
    <t>EDUARDO GAUNA</t>
  </si>
  <si>
    <t>SALTA</t>
  </si>
  <si>
    <t>FEBREO DE 2013 EN CLUB ATRLETICO LAS ROSAS ………………………………………</t>
  </si>
  <si>
    <t xml:space="preserve">actuar con su grupo musical “LOS CEIBALES” en el evento llevado a cavo el día 02 DE  </t>
  </si>
  <si>
    <t>DUJE, SERGIO ANTONIO</t>
  </si>
  <si>
    <t xml:space="preserve">actuar con su grupo musical “C´ DUJE” POR 1500 PESOS Y EL GRUPO "ALMAS EN </t>
  </si>
  <si>
    <t>CLUB ATRLETICO LAS ROSAS ………………………………………</t>
  </si>
  <si>
    <t xml:space="preserve">FUSION" POR $2200    en el evento llevado a cavo el día 02 DE  FEBREO DE 2013 EN </t>
  </si>
  <si>
    <t>LOS PLATANOS</t>
  </si>
  <si>
    <t>SARGENTO CABRAL</t>
  </si>
  <si>
    <t>VILLA DE LAS ROSAS</t>
  </si>
  <si>
    <t xml:space="preserve">SORIANO MOLINA </t>
  </si>
  <si>
    <t xml:space="preserve">ABASTECER 1000 KG DE LEÑA PARA EVENTOS MUNICIPALES EN EL MES DE ENERO </t>
  </si>
  <si>
    <t xml:space="preserve">B° BUEN RETIRO </t>
  </si>
  <si>
    <t>LOPEZ JOSE AGUSTO</t>
  </si>
  <si>
    <t>actuar con su grupo musical  en el evento DESPEDIDA DE AÑO 2012</t>
  </si>
  <si>
    <t xml:space="preserve">VILLA DOLORES </t>
  </si>
  <si>
    <t>KAUER, SEBASTIAN FELIPE</t>
  </si>
  <si>
    <t>TRABAJO RALIZADO POR DOS SEMANAS EN MANTENIMIENTO DE SISTEMAS INFOR-</t>
  </si>
  <si>
    <t>MATICO -------------------------------------------------------------------------------------------------------------------------</t>
  </si>
  <si>
    <t xml:space="preserve">DEL NOGAL </t>
  </si>
  <si>
    <t xml:space="preserve">LOS POZOS </t>
  </si>
  <si>
    <t>AYALA HECTOR</t>
  </si>
  <si>
    <t xml:space="preserve">actuar con su grupo musical “EL CHANGO AYALA Y GRUPO ARGENTNO” en el evento llevado a cavo  </t>
  </si>
  <si>
    <t>EL DIA 17 FEBREO DE 2013 EN LA PLAZA SAN MARTIN………………………</t>
  </si>
  <si>
    <t>MARCELINO POULET</t>
  </si>
  <si>
    <t>SAN LUIS</t>
  </si>
  <si>
    <t>GUARDIA RODRIGO</t>
  </si>
  <si>
    <t>actuar con su grupo musical “RICARDO BARRERA” en el evento llevado a cavo  EL DIA 17</t>
  </si>
  <si>
    <t>DE FEBRERO DE 2013 EN LA PLAZA SAN MARTIN………………………</t>
  </si>
  <si>
    <t xml:space="preserve">25 DE MAYO </t>
  </si>
  <si>
    <t>HULAPES</t>
  </si>
  <si>
    <t xml:space="preserve"> 208 horas trabajadas en Balneario Guasmara a $15,25/hora mas 45 horas trabajadas en</t>
  </si>
  <si>
    <t xml:space="preserve"> 198 horas trabajadas en Balneario Guasmara a $15,25/hora mas 07 horas trabajadas en</t>
  </si>
  <si>
    <t xml:space="preserve"> 130 horas trabajadas en Balneario Guasmara a $15,25/hora ------------------------------------------</t>
  </si>
  <si>
    <t xml:space="preserve"> 208 horas trabajadas en Balneario Guasmara a $15,25/hora ------------------------------------------</t>
  </si>
  <si>
    <t xml:space="preserve"> 191 horas trabajadas en Balneario Guasmara a $15,25/hora ------------------------------------------</t>
  </si>
  <si>
    <t xml:space="preserve"> 149 horas trabajadas en Balneario Guasmara a $15,25/hora ------------------------------------------</t>
  </si>
  <si>
    <t xml:space="preserve"> 122 horas trabajadas en Balneario Guasmara a $15,25/hora ------------------------------------------</t>
  </si>
  <si>
    <t xml:space="preserve"> 298 horas trabajadas en Balneario Guasmara a $15,25/hora ------------------------------------------</t>
  </si>
  <si>
    <t xml:space="preserve"> 126 horas trabajadas en Balneario Guasmara a $15,25/hora ------------------------------------------</t>
  </si>
  <si>
    <t xml:space="preserve"> 196 horas trabajadas en Balneario Guasmara a $15,25/hora ------------------------------------------</t>
  </si>
  <si>
    <t xml:space="preserve"> 110 horas trabajadas en transito a $15,25/hora ------------------------------------------</t>
  </si>
  <si>
    <t>140,5 horas trabajadas en transitoa $15,25/hora ------------------------------------------</t>
  </si>
  <si>
    <t xml:space="preserve"> 100,5 horas trabajadas en transito a $15,25/hora ------------------------------------------</t>
  </si>
  <si>
    <t>49 horas trabajadas en Obras Publicas  a $15,25/hora ------------------------------------------</t>
  </si>
  <si>
    <t xml:space="preserve">AGÜERO TOMAS </t>
  </si>
  <si>
    <t xml:space="preserve">actuar con su grupo musical “PATRICIA PARADA” POR 1500 PESOS    en el evento llevado </t>
  </si>
  <si>
    <t xml:space="preserve">  a cavo en el evento llevado a cavo el día 02 DE  MARZO DE 2013 EN </t>
  </si>
  <si>
    <t xml:space="preserve">ALMIRANTE BROUN </t>
  </si>
  <si>
    <t xml:space="preserve">BRISUELA JOSE LUIS </t>
  </si>
  <si>
    <t xml:space="preserve">actuar con su grupo musical “CHACHO PERALTA Y OCAÑO Y SUS CHAMAMECEROS” POR  </t>
  </si>
  <si>
    <t>DE 2013 EN CLUB ATRLETICO LAS ROSAS ………………………………………</t>
  </si>
  <si>
    <t xml:space="preserve">  6000 PESOS en el evento llevadoa cavo en el evento llevado a cavo el día 02 DE  MARZO </t>
  </si>
  <si>
    <t xml:space="preserve">GUASMARA </t>
  </si>
  <si>
    <t>OCHOA RAFAEL</t>
  </si>
  <si>
    <t xml:space="preserve">actuar con su grupo musical “LOS CAMINANTES” POR 600 PESOS    en el evento llevado </t>
  </si>
  <si>
    <t xml:space="preserve">LOS MOLLES </t>
  </si>
  <si>
    <t>SANCHEZ ERNESTO</t>
  </si>
  <si>
    <t xml:space="preserve">actuar con su grupo musical “LA LEYENDA CON RUBINNO” POR 16000 PESOS    en el </t>
  </si>
  <si>
    <t xml:space="preserve"> evento llevado  a cavo en el evento llevado a cavo el día 02 DE  MARZO DE 2013 EN </t>
  </si>
  <si>
    <t>PEDRO C MOLINA</t>
  </si>
  <si>
    <t>actuar con su grupo musical “RICARDO BARRERA” en el evento llevado a cavo  EL DIA 02</t>
  </si>
  <si>
    <t>DE MARZO DE 2013 EN CLUB ATRLETICO LAS ROSAS -----------------------------------------------</t>
  </si>
  <si>
    <t>LA RIOJA</t>
  </si>
  <si>
    <t xml:space="preserve"> 60 horas trabajadas en transitoa $15,25/hora ------------------------------------------</t>
  </si>
  <si>
    <t>TRABAJO RALIZADO POR TRES DIAS  EN MANTENIMIENTO DE SISTEMAS INFOR-</t>
  </si>
  <si>
    <t>MATICO, RECUPERACION DE SERVER POR FALLAS ELECTRICAS -------------------------------</t>
  </si>
  <si>
    <t xml:space="preserve"> 108 horas trabajadas en transito a $15,25/hora ------------------------------------------</t>
  </si>
  <si>
    <t>61horas trabajadas en transito a $15,25/hora ------------------------------------------</t>
  </si>
  <si>
    <t xml:space="preserve">Celiz, Jorge Luis </t>
  </si>
  <si>
    <t xml:space="preserve">actuar con su grupo musical “LA BANDA DE DON CELIZ” POR 1600 PESOS    en el </t>
  </si>
  <si>
    <t xml:space="preserve"> evento llevado  a cavo en el evento llevado a cavo el día 30 DE  MARZO DE 2013 EN </t>
  </si>
  <si>
    <t>EL 1º FESTIVAL DE LA DULZURA TRANSERRANA QUEBRADA DE LOS POZOS</t>
  </si>
  <si>
    <t>REMEDIO DE ESCALADA</t>
  </si>
  <si>
    <t xml:space="preserve">actuar con su grupo musical “DUO SUMAMPA” POR 2000 PESOS    en el </t>
  </si>
  <si>
    <t>Bequi, Miguel Angel</t>
  </si>
  <si>
    <t xml:space="preserve">Av. Arturo Ilia </t>
  </si>
  <si>
    <t xml:space="preserve">Matos, Juan Carlos </t>
  </si>
  <si>
    <t xml:space="preserve">actuar con su grupo musical “CARLOS MATOS” POR 500 PESOS    en el </t>
  </si>
  <si>
    <t>LOS MOLLES</t>
  </si>
  <si>
    <t>mantenimiento de pagina web tres paginas por 300 pesos ---------------------------------------------</t>
  </si>
  <si>
    <t xml:space="preserve">Suarez, Osvaldo Roque </t>
  </si>
  <si>
    <t xml:space="preserve">actuar con su grupo musical “ADN” POR 4000 PESOS    en el </t>
  </si>
  <si>
    <t xml:space="preserve"> evento llevado  a cavo en el evento llevado a cavo el día 14 DE  abril DE 2013 EN </t>
  </si>
  <si>
    <t>EL PREDIO EX PICARDO PICARDO ---------------------------------------------------------------------------------</t>
  </si>
  <si>
    <t xml:space="preserve">JULIO A ROCA </t>
  </si>
  <si>
    <t xml:space="preserve">actuar con su grupo musical “DUO SUMAMPA” POR 1000 PESOS    en el </t>
  </si>
  <si>
    <t>Garcia, Manuel Alberto</t>
  </si>
  <si>
    <t xml:space="preserve">actuar con su grupo musical “LOS CANTORES DEL ALBA” POR 5500 PESOS    en el </t>
  </si>
  <si>
    <t xml:space="preserve">Benito Soria </t>
  </si>
  <si>
    <t>Cordoba</t>
  </si>
  <si>
    <t xml:space="preserve">actuar con su grupo musical “CHINO MENO” POR 2000 PESOS    en el </t>
  </si>
  <si>
    <t xml:space="preserve"> 124 horas trabajadas en LIMPIEZA DISPENSARIO a $15,25/hora -----------------------------------------</t>
  </si>
  <si>
    <t xml:space="preserve"> 56 horas trabajadas en transito por  $1095,28 ------------------------------------------</t>
  </si>
  <si>
    <t>Montiel, Nidia Beatriz</t>
  </si>
  <si>
    <t xml:space="preserve"> 44 horas trabajadas en transito por  $819,72 ------------------------------------------</t>
  </si>
  <si>
    <t>libertador urquiza</t>
  </si>
  <si>
    <t>111,5  horas trabajadas en LIMPIEZA DISPENSARIO a $15,25/hora ----------------------------------------</t>
  </si>
  <si>
    <t xml:space="preserve">REPRESENTANTE DE LOS GRUPOS MUSICALES: “NELIDA BAEZ” POR 1300 PESOS;  "LOS </t>
  </si>
  <si>
    <t>SERENATEROS DE SALTA" por $6000 y "ESTILO SERRANO" POR $1500 para el evento</t>
  </si>
  <si>
    <t>llevado a cavo el dia 25 de agosto "IGNAUGURACION AULAS ESCUELA SECUNDARIA"</t>
  </si>
  <si>
    <t>TELLO CARLOS ANTONIO</t>
  </si>
  <si>
    <t>REPRESENTANTE DEL GRUPO MUSICALE: “LA MONA TELLO” POR 3500 PESOS    para el</t>
  </si>
  <si>
    <t xml:space="preserve">evento llevado a cavo el dia 25 de agosto "IGNAUGURACION AULAS ESCUELA </t>
  </si>
  <si>
    <t>SECUNDARIA"---------------------------------------------------------------------------------------------------------------</t>
  </si>
  <si>
    <t xml:space="preserve">PASAJE MONTIEL </t>
  </si>
  <si>
    <t>S/N</t>
  </si>
  <si>
    <t xml:space="preserve">actuar con su grupo musical “BAILANTA CRIOLLA” POR 1000 PESOS    en el evento llevado </t>
  </si>
  <si>
    <t xml:space="preserve">  a cavo día 07 DE  SEPTIEMBRE DE 2013 IGNAUGURACION RED DE AGUA BUEN </t>
  </si>
  <si>
    <t>RETIRO ……………………………………………………………………………………………</t>
  </si>
  <si>
    <t>TAPIA RENZO</t>
  </si>
  <si>
    <t xml:space="preserve">actuar con su grupo musical “RENZO TAPIA” POR 1500 PESOS    en el evento llevado </t>
  </si>
  <si>
    <t>LOS CEIBOS</t>
  </si>
  <si>
    <t>MINA CLAVERO</t>
  </si>
  <si>
    <t>SILVA JOSE CARLO</t>
  </si>
  <si>
    <t xml:space="preserve">actuar con su grupo musical “JALLIONS” POR 500 PESOS    en el evento llevado </t>
  </si>
  <si>
    <t>ROSAS ……………………………………………………………………………………………</t>
  </si>
  <si>
    <t xml:space="preserve">  a cavo día 28 DE  SEPTIEMBRE DE 2013 2º ENCUENTRO DE MOTO VILLA DE LAS</t>
  </si>
  <si>
    <t>MAITE</t>
  </si>
  <si>
    <t xml:space="preserve">MERLO </t>
  </si>
  <si>
    <t>TORRES JUAN EDUARDO</t>
  </si>
  <si>
    <t xml:space="preserve">actuar "ANIMACION DE EVENTOS DE MOTOS  POR 3500 PESOS    en el evento llevado </t>
  </si>
  <si>
    <t>PJE SAN ANTONIO</t>
  </si>
  <si>
    <t>JURMUSSI ALEX</t>
  </si>
  <si>
    <t xml:space="preserve">actuar con su grupo musical “THE CHICKEN FACES” POR 3000 PESOS    en el evento llevado </t>
  </si>
  <si>
    <t xml:space="preserve">DEAN FUNES </t>
  </si>
  <si>
    <t xml:space="preserve">BOYAJIAN NATALIA </t>
  </si>
  <si>
    <t xml:space="preserve">actuar con su grupo musical “IAN” POR 7000 PESOS    en el evento llevado </t>
  </si>
  <si>
    <t>AVELLANEDA</t>
  </si>
  <si>
    <t>CAPITAL FEDERAL</t>
  </si>
  <si>
    <t>DOMINGUEZ MAXIMILIANO</t>
  </si>
  <si>
    <t xml:space="preserve">actuar con su grupo musical “GTX” POR 2000 PESOS    en el evento llevado </t>
  </si>
  <si>
    <t>SANTOS ROSALES</t>
  </si>
  <si>
    <t>MONTE CRISTO</t>
  </si>
  <si>
    <t>CORDOBA</t>
  </si>
  <si>
    <t>GONZALEZ SEBASTIAN</t>
  </si>
  <si>
    <t xml:space="preserve">actuar con su grupo musical “AURICA” POR 2000 PESOS    en el evento llevado </t>
  </si>
  <si>
    <t xml:space="preserve">SARMIENTO </t>
  </si>
  <si>
    <t>126 horas trabajadas en Obras Publicas  a $22,38/hora ------------------------------------------</t>
  </si>
  <si>
    <t>OLAVO CHACON</t>
  </si>
  <si>
    <t xml:space="preserve">REPRESENTANTE DE LOS GRUPOS MUSICALES: “ESTILO SERRANO” POR 1700 PESOS; </t>
  </si>
  <si>
    <t xml:space="preserve"> para el evento llevado a cavo el dia 06 de OCTUBRE  "ANIVERSARIO CLUB SACACHISPA</t>
  </si>
  <si>
    <t>-----------------------------------------------------------------------------------------------------------------------------------</t>
  </si>
  <si>
    <t xml:space="preserve">REPRESENTANTE DE LOS GRUPOS MUSICALES: “chacho peralta” POR 400 PESOS; </t>
  </si>
  <si>
    <t xml:space="preserve">REPRESENTANTE DE LOS GRUPOS MUSICALES: “FABIANA ROJO” POR 1700 PESOS; </t>
  </si>
  <si>
    <t xml:space="preserve"> para el evento llevado a cavo el dia 13 de OCTUBRE  "IGNAUGURACION SUM MAGDALENA T. </t>
  </si>
  <si>
    <t>DE CHARLES------------------------------------------------------------------------------------------------------------------</t>
  </si>
  <si>
    <t xml:space="preserve">REPRESENTANTE DE LOS GRUPOS MUSICALES: “SANGRE NUEVA” POR 6000 PESOS; </t>
  </si>
  <si>
    <t xml:space="preserve">REPRESENTANTE DE LOS GRUPOS MUSICALES: “ROMERO MELIAN” POR 1600 PESOS; </t>
  </si>
  <si>
    <t xml:space="preserve">Sonido para el evento llevado a cavo el dia 13 de OCTUBRE  para el   "IGNAUGURACION SUM </t>
  </si>
  <si>
    <t>--------------------------------------------------------------------------------------------------------------------------------------</t>
  </si>
  <si>
    <t>MAGDALENA T de Charles; ----------------------------------------------------------------------------------------------------</t>
  </si>
  <si>
    <t xml:space="preserve">Sonido para el evento llevado a cavo el dia 06 de OCTUBRE  para el   "Aniversario Club Sacachispa </t>
  </si>
  <si>
    <t>----------------------------------------------------------------------------------------------------------------------------------------------</t>
  </si>
  <si>
    <t>TELLO HORACIO</t>
  </si>
  <si>
    <t xml:space="preserve">REPRESENTANTE DE LOS GRUPOS MUSICALES: “HORACIO TELLO” POR 1200 PESOS; </t>
  </si>
  <si>
    <t xml:space="preserve"> evento llevado  a cavo día 19 DE  septiembre DE 2013 EN "ignauguracion puente Guasmara"</t>
  </si>
  <si>
    <t>Ortega, Sergio Rolando</t>
  </si>
  <si>
    <t xml:space="preserve">actuar con su grupo musical (incluye sonido) “ANGELES DEL SWIN” POR 4000 PESOS    en el </t>
  </si>
  <si>
    <t xml:space="preserve">Sierras Grandes </t>
  </si>
  <si>
    <t xml:space="preserve"> evento llevado  a cavo día 19 DE  octubre DE 2013 EN "ignauguracion puente Guasmara"</t>
  </si>
  <si>
    <t xml:space="preserve">actuar con su grupo musical “ADN FOLKLORE” POR 3500 PESOS    en el </t>
  </si>
  <si>
    <t>Lopez, Jose Antonio</t>
  </si>
  <si>
    <t xml:space="preserve">actuar con su grupo musical “LOS FESTIVALEROS” POR 1200 PESOS    en el </t>
  </si>
  <si>
    <t xml:space="preserve">EL CEIBO </t>
  </si>
  <si>
    <t xml:space="preserve">ARROLLO DE LOS PATOS </t>
  </si>
  <si>
    <t xml:space="preserve">Sonido y luces para el evento llevado a cavo el dia 16 de novirmbre  para el   "Festival del mate  </t>
  </si>
  <si>
    <t>Serrano" y el evento del dia 17 de noviembre para "2º Festival de la Esquila"--------------------------------</t>
  </si>
  <si>
    <t>ALBARRACIN, DIEGO MARTIN</t>
  </si>
  <si>
    <t xml:space="preserve">actuar con su grupo musical "LA VUELTA" en el evento llevado a cavo el dia 16 de noviembre  </t>
  </si>
  <si>
    <t>en el   "Festival del mate Serrano" -------------------------------------------------------------------------------------------</t>
  </si>
  <si>
    <t>Bv. Antonio Rosse</t>
  </si>
  <si>
    <t xml:space="preserve">BEQUI SIMON </t>
  </si>
  <si>
    <t>actuar con su grupo musical "DUO SUMAMPA" en el evento llevado a cavo el dia 16 de</t>
  </si>
  <si>
    <t xml:space="preserve"> noviembre  en el   "Festival del mate Serrano" ------------------------------------------------------------------------------</t>
  </si>
  <si>
    <t>actuar con su grupo musical "EL CUARTETAZO" en el evento llevado a cavo el dia 07 De</t>
  </si>
  <si>
    <t>diciembre en "PRE COSQUIN 2014" plaza san martin -------------------------------------------------------------</t>
  </si>
  <si>
    <t>92 horas trabajadas en Balneario Guasmara a $22,38/hora ---------------------------------------------------</t>
  </si>
  <si>
    <t>---------------------------------------------------------------------------------------------------------------------------------------------</t>
  </si>
  <si>
    <t>EL ALTO</t>
  </si>
  <si>
    <t>91 horas trabajadas en Balneario Guasmara a $22,38/hora ---------------------------------------------------</t>
  </si>
  <si>
    <t>66horas trabajadas en Balneario Guasmara a $22,38/hora ---------------------------------------------------</t>
  </si>
  <si>
    <t xml:space="preserve">Olmedo, Sofia Natalia </t>
  </si>
  <si>
    <t>95 horas trabajadas en Balneario Guasmara a $22,38/hora ---------------------------------------------------</t>
  </si>
  <si>
    <t>93 horas trabajadas en Balneario Guasmara a $22,38/hora ---------------------------------------------------</t>
  </si>
  <si>
    <t>Molina, Joana Elizabeth</t>
  </si>
  <si>
    <t>OVIEDO, EVELIN MARCELA</t>
  </si>
  <si>
    <t xml:space="preserve">Realizacion y grabacion intregral del Programa Televisado "LA CASA DEL TROBADOR" q se </t>
  </si>
  <si>
    <t>emite por Canal doce y por Sembrando Satelital ---------------------------------------------------------------------</t>
  </si>
  <si>
    <t>Juan Jose Paso</t>
  </si>
  <si>
    <t>ALLIEVI, GERMAN</t>
  </si>
  <si>
    <t>Instalacion de aire acondicionado en Despacho de Hacienda ---------------------------------------------------</t>
  </si>
  <si>
    <t>--------------------------------------------------------------------------------------------------------------------------------------------</t>
  </si>
  <si>
    <t>,-----------------------------------------------------------------------------------------------------------------------------------</t>
  </si>
  <si>
    <t>barranca los loros</t>
  </si>
  <si>
    <t>Ceballos, Jorge</t>
  </si>
  <si>
    <t xml:space="preserve">actuar con su grupo musical “GRUPO ORIGENES” en el evento llevado a cavo  EL DIA 11 DE </t>
  </si>
  <si>
    <t>ENERO DE 2014 EN LA PLAZA SAN MARTIN…,,,,,,,,,,,,,,,,,,,,,,,,,,,,,,,,,,,,,,,,,,,,……………………</t>
  </si>
  <si>
    <t>PASAJE PUBLICO</t>
  </si>
  <si>
    <t xml:space="preserve">VILLA SARMIENTO </t>
  </si>
  <si>
    <t xml:space="preserve">"LOS HERMANOS MELIAN" POR 1800 en el evento llevado a cavo  EL DIA 11 DE ENERO DE </t>
  </si>
  <si>
    <t>2014 EN LA PLAZA SAN MARTIN------------------------------------------------------------------------------------</t>
  </si>
  <si>
    <t>actuar con su grupo musical “ESTILO SERRRANO” POR 1600 PESOS  Y EL GRUPO</t>
  </si>
  <si>
    <t xml:space="preserve">Moran, Roberto </t>
  </si>
  <si>
    <t xml:space="preserve">actuar con su grupo musical “Los Norteños” en el evento llevado a cavo  EL DIA 18 DE </t>
  </si>
  <si>
    <t xml:space="preserve">Pueyrredon </t>
  </si>
  <si>
    <t>Quines</t>
  </si>
  <si>
    <t xml:space="preserve">actuar con su grupo musical “Los Mariachi” en el evento llevado a cavo  EL DIA 18 DE </t>
  </si>
  <si>
    <t xml:space="preserve">actuar con su grupo musical “Los Festivaleros” en el evento llevado a cavo  EL DIA 18 DE </t>
  </si>
  <si>
    <t xml:space="preserve">actuar con su grupo musical “El Cuartetazo” en el evento llevado a cavo  EL DIA 18 DE </t>
  </si>
  <si>
    <t>VIDAL FRANCISCO ANTONIO</t>
  </si>
  <si>
    <t xml:space="preserve">actuar con su grupo musical “LOS HERMANOS VIDAL” en el evento llevado a cavo  EL DIA 24 </t>
  </si>
  <si>
    <t>DE ENERO DE 2014 EN LA PLAZA SAN MARTIN…,,,,,,,,,,,,,,,,,,,,,,,,,,,,,,,,………..………………</t>
  </si>
  <si>
    <t>PERNERA</t>
  </si>
  <si>
    <t>SANTA ROSA DEL CONLARA</t>
  </si>
  <si>
    <t>SORIA HECTOR MIGUEL</t>
  </si>
  <si>
    <t xml:space="preserve">actuar con su grupo musical “LOS WAKKES” en el evento llevado a cavo  EL DIA 24 </t>
  </si>
  <si>
    <t>ULAPES</t>
  </si>
  <si>
    <t>actuar con su grupo musical “RENACER CHAMAMECERO” en el evento llevado a cavo  EL DIA</t>
  </si>
  <si>
    <t>24 DE ENERO DE 2014 EN LA PLAZA SAN MARTIN,,,,,,,,,,,,,,,,,,,,,,,,,………..………………</t>
  </si>
  <si>
    <t xml:space="preserve">FLORIDA </t>
  </si>
  <si>
    <t>CHIRINO JAVIER</t>
  </si>
  <si>
    <t>ROMANYK AYELEN</t>
  </si>
  <si>
    <t>actuar con su grupo musical “LA VUELTA” en el evento llevado a cavo  EL DIA</t>
  </si>
  <si>
    <t>COLON</t>
  </si>
  <si>
    <t>VILLA CURA BROCHERO</t>
  </si>
  <si>
    <t>GARCIA MIGUEL ANGEL</t>
  </si>
  <si>
    <t>actuar con su grupo musical “MIGUEL GARCIA MUSICA MAS MUSICA” en el evento llevado a</t>
  </si>
  <si>
    <t>CAVO EL DIA 24 DE ENERO DE 2014 EN LA PLAZA SAN MARTIN,,………..………………</t>
  </si>
  <si>
    <t xml:space="preserve">SIMON GORORDO </t>
  </si>
  <si>
    <t xml:space="preserve">RIO CUARTO </t>
  </si>
  <si>
    <t>FERREYRA JOSE DARIO</t>
  </si>
  <si>
    <t>Sonido para el evento llevado a cavo EL DIA 24 DE ENERO EN PLAZA SAN MARTIN --------------</t>
  </si>
  <si>
    <t xml:space="preserve">SAN ROQUE </t>
  </si>
  <si>
    <t>Instalación y configuración de red wifi, configuración de red interna, configuración de impresora.</t>
  </si>
  <si>
    <t>Córdoba</t>
  </si>
  <si>
    <t>DOMINGUEZ JAVIER EDUARDO</t>
  </si>
  <si>
    <t xml:space="preserve">actuar con su grupo musical “CANTORES DE SANTA CECILIA” en el evento llevado a cavo  EL </t>
  </si>
  <si>
    <t xml:space="preserve"> DIA 01 DE FEBRERO DE 2014 EN LA PLAZA SAN MARTIN,,,,,,,,………..………………</t>
  </si>
  <si>
    <t xml:space="preserve">PUBLICA </t>
  </si>
  <si>
    <t xml:space="preserve">LAS TAPIAS </t>
  </si>
  <si>
    <t>DEWAR HUGO</t>
  </si>
  <si>
    <t xml:space="preserve">actuar como solista  en el evento llevado a cavo  EL dia 01 de febrero de 2014 en la Plaza San </t>
  </si>
  <si>
    <t>MARTIN_----------------------------------------------------------------------------------------,,,,,,,,………..………………</t>
  </si>
  <si>
    <t>SPITALE FRANCISCO</t>
  </si>
  <si>
    <t xml:space="preserve">actuar con su grupo musical “SERENATEROS DE SALTA” en el evento llevado a cavo  EL </t>
  </si>
  <si>
    <t xml:space="preserve">OCOMPIS </t>
  </si>
  <si>
    <t>NUEVA ITALIA</t>
  </si>
  <si>
    <t>HUGOLINI OSCAR ALBERTO</t>
  </si>
  <si>
    <t xml:space="preserve">actuar con su grupo musical “COSECHANDO AMIGOS” en el evento llevado a cavo  EL </t>
  </si>
  <si>
    <t xml:space="preserve">SAN MARTIN </t>
  </si>
  <si>
    <t>ESCUDERO REYNALDO</t>
  </si>
  <si>
    <t xml:space="preserve">CASEROS </t>
  </si>
  <si>
    <t xml:space="preserve">actuar con su grupo musical “LA BANDA DE DON CELIZ” en el evento llevado a cavo  EL </t>
  </si>
  <si>
    <t>Molina, Johana Elizabeth</t>
  </si>
  <si>
    <t>el Sr/a.</t>
  </si>
  <si>
    <t>162 horas trabajadas en Balneario Guasmara a $22,38/hora ---------------------------------------------------</t>
  </si>
  <si>
    <t>Pino, Luis Eduardo</t>
  </si>
  <si>
    <t>horas trabajadas en Balneario Guasmara como seremo------- ---------------------------------------------------</t>
  </si>
  <si>
    <t>235  horas trabajadas en Balneario Guasmara a $22,38/hora ---------------------------------------------------</t>
  </si>
  <si>
    <t>226 horas trabajadas en Balneario Guasmara a $22,38/hora ------------------------------------------</t>
  </si>
  <si>
    <t>actuar con su grupo musical “CARLOS MATOS” en el evento llevado a cavo  EL dia 15 de febrero</t>
  </si>
  <si>
    <t>en la PLAZA SAN MARTIN ------------------------------------------------------------------------------------------------------</t>
  </si>
  <si>
    <t>CASTRO CARLOS ENRIQUE</t>
  </si>
  <si>
    <t>actuar con su grupo musical “SABIA NORTEÑA” en el evento llevado a cavo  EL dia 15 de</t>
  </si>
  <si>
    <t xml:space="preserve"> FEBRERO en la PLAZA SAN MARTIN-----------------------------------------------------------------------------</t>
  </si>
  <si>
    <t xml:space="preserve">HUARPES </t>
  </si>
  <si>
    <t>ARGUELLO</t>
  </si>
  <si>
    <t xml:space="preserve">RODRIGUEZ ALEJANDRO OMAR </t>
  </si>
  <si>
    <t>actuar con su grupo musical “LA VUELTA” en el evento llevado a cavo  EL dia 15 de</t>
  </si>
  <si>
    <t>POSADAS</t>
  </si>
  <si>
    <t>RIO TERCERO</t>
  </si>
  <si>
    <t>Calderon, Dalmiro</t>
  </si>
  <si>
    <t>actuar con su grupo musical “TRIO CRUZ DEL SUR” en el evento llevado a cavo  EL dia 22 de</t>
  </si>
  <si>
    <t>SAN LORENZO</t>
  </si>
  <si>
    <t xml:space="preserve">VERAGUA JAVIER </t>
  </si>
  <si>
    <t>actuar con su grupo musical “FABIANA ROJO” en el evento llevado a cavo  EL dia 22 de</t>
  </si>
  <si>
    <t>HORMAECHE</t>
  </si>
  <si>
    <t xml:space="preserve">PEREYRA FABIO </t>
  </si>
  <si>
    <t>actuar con su grupo musical “AZUL MARINO” en el evento llevado a cavo  EL dia 22 de</t>
  </si>
  <si>
    <t xml:space="preserve">SIRIA </t>
  </si>
  <si>
    <t xml:space="preserve">CACACE JOSE ARIEL </t>
  </si>
  <si>
    <t>actuar con su grupo musical “PEPE CACACE” en el evento llevado a cavo  EL dia 22 de</t>
  </si>
  <si>
    <t>Bº 153 VIVIENDAS</t>
  </si>
  <si>
    <t>Sonido para el evento llevado a cavo EL DIA 11 DE MAYO EN SALON DE LOS POZOS ------------</t>
  </si>
  <si>
    <t>ORTIZ, RAUL ERNESTO</t>
  </si>
  <si>
    <t xml:space="preserve">02 DE AGOSTOS DE 2014 MUNICIPALIZACION DE VILLA DE LAS ROSAS </t>
  </si>
  <si>
    <t>actuar con su grupo musical “LA KURA Y AGRUPACION 98” en el evento llevado a cavo  EL</t>
  </si>
  <si>
    <t xml:space="preserve">PASAJE ORTIZ </t>
  </si>
  <si>
    <t xml:space="preserve">OVIEDO, JORGE </t>
  </si>
  <si>
    <t>actuar con su grupo musical “MURMULLOS” en el evento llevado a cavo  EL</t>
  </si>
  <si>
    <t xml:space="preserve">03 DE AGOSTOS DE 2014 MUNICIPALIZACION DE VILLA DE LAS ROSAS </t>
  </si>
  <si>
    <t xml:space="preserve">GILARDO GILARDI </t>
  </si>
  <si>
    <t>GALDAME JOSE FAUSTINO</t>
  </si>
  <si>
    <t xml:space="preserve">Catering en el Evento del dia 03 de agosto de 2014 Municipalizacion de Villa de las Rosas </t>
  </si>
  <si>
    <t xml:space="preserve">Publica </t>
  </si>
  <si>
    <t>actuar con su grupo musical “LOS VISCONTI Y PASTOR LUNA” en el evento llevado a cavo  EL</t>
  </si>
  <si>
    <t>actuar con su grupo musical “DOÑA JOVITA” en el evento llevado a cavo  EL</t>
  </si>
  <si>
    <t>GONZALEZ, JOSE LUIS</t>
  </si>
  <si>
    <t xml:space="preserve">actuar "ANIMACION DE EVENTOS DE MOTOS  POR 4000 PESOS    en el evento llevado </t>
  </si>
  <si>
    <t xml:space="preserve">  a cavo el día 10 DE OCTUBRE 3º ENCUENTRO DE MOTO VILLA DE LAS</t>
  </si>
  <si>
    <t xml:space="preserve">actuar con su grupo musical “THE CHICKEN FACES” POR 5800  PESOS    en el evento llevado </t>
  </si>
  <si>
    <t xml:space="preserve">  a cavo día 11 DE  octubre DE 2014 3º ENCUENTRO DE MOTO VILLA DE LAS</t>
  </si>
  <si>
    <t>BERECIARTUA SEBASTIAN</t>
  </si>
  <si>
    <t xml:space="preserve">actuar con su grupo musical “VITICUS” POR 29650  PESOS    en el evento llevado </t>
  </si>
  <si>
    <t xml:space="preserve">  a cavo día 12 DE  octubre DE 2014 3º ENCUENTRO DE MOTO VILLA DE LAS</t>
  </si>
  <si>
    <t>EUROPA</t>
  </si>
  <si>
    <t xml:space="preserve">ESCOBAR </t>
  </si>
  <si>
    <t>BUENOS AIRES</t>
  </si>
  <si>
    <t>ADRIANO MARE</t>
  </si>
  <si>
    <t xml:space="preserve">actuar con su grupo musical “HOMENAJE” POR 4000 PESOS    en el evento llevado </t>
  </si>
  <si>
    <t xml:space="preserve">PELEGRINI </t>
  </si>
  <si>
    <t xml:space="preserve">HERNANDO </t>
  </si>
  <si>
    <t xml:space="preserve">actuar con su grupo musical “AURICA” POR 2500 PESOS    en el evento llevado </t>
  </si>
  <si>
    <t>ZANNI ANIBAL</t>
  </si>
  <si>
    <t xml:space="preserve">actuar con su grupo musical “GTX” POR 3000 PESOS    en el evento llevado </t>
  </si>
  <si>
    <t xml:space="preserve">LA QUEBRADA </t>
  </si>
  <si>
    <t>LA FALDA</t>
  </si>
  <si>
    <t>ARGUELLO, AYLEN</t>
  </si>
  <si>
    <t>EVENTO MOTOENCUENTRO ATENCION AL PUBLICO POSTA TURISTICA SIETE HORAS</t>
  </si>
  <si>
    <t>BUSTOS, MACARENA</t>
  </si>
  <si>
    <t xml:space="preserve"> HORAS ------------------------------------------------------------------------------------------------------------------------</t>
  </si>
  <si>
    <t xml:space="preserve">EVENTO MOTOENCUENTRO ATENCION AL PUBLICO POSTA TURISTICA DIECISETE </t>
  </si>
  <si>
    <t xml:space="preserve">ANDRADA SEGUNDO SIMON </t>
  </si>
  <si>
    <t>EVENTO MOTOENCUENTRO AREA DE TRANSITO 34 HORAS</t>
  </si>
  <si>
    <t>EVENTO MOTOENCUENTRO AREA DE TRANSITO 22 HORAS</t>
  </si>
  <si>
    <t>MONTERO NAHUEL</t>
  </si>
  <si>
    <t xml:space="preserve">actuar con su grupo musical “HALEY” POR 500 PESOS    en el evento llevado </t>
  </si>
  <si>
    <t xml:space="preserve">CARCANO </t>
  </si>
  <si>
    <t>CORDERO CAROLINA</t>
  </si>
  <si>
    <t xml:space="preserve">actuar con su grupo musical “LOBO NEGRO” POR 500 PESOS    en el evento llevado </t>
  </si>
  <si>
    <t>NAVONE COLOMER ALBERTO GUSTAVO</t>
  </si>
  <si>
    <t>llevado  a cavo día 12 DE  octubre DE 2014 3º ENCUENTRO DE MOTO VILLA DE LAS</t>
  </si>
  <si>
    <t xml:space="preserve">actuar con su grupo musical “HUESO DURO DE ROER” POR 1000 PESOS    en el evento </t>
  </si>
  <si>
    <t>PALACIOS ANTONIA OLGA</t>
  </si>
  <si>
    <t xml:space="preserve"> DIA 08 DE NOVIEMBRE DE 2014 EN LA PLAZA NIÑA ROSITA IGNAUGURACION--------------------</t>
  </si>
  <si>
    <t>CORREA CRISTIAN CESAR</t>
  </si>
  <si>
    <t xml:space="preserve"> cavo  EL  DIA 08 DE NOVIEMBRE DE 2014 EN LA PLAZA NIÑA ROSITA IGNAUGURACION------</t>
  </si>
  <si>
    <t>actuar con su grupo musical “MARIACHI JALISCO DE TRASLASIERRA” en el evento llevado a</t>
  </si>
  <si>
    <t>HIRIGOYEN</t>
  </si>
  <si>
    <t>REBORA, ENRIQUE RODOLFO</t>
  </si>
  <si>
    <t>14,427,992</t>
  </si>
  <si>
    <t>, en su carácter de Intendente y el Sr.</t>
  </si>
  <si>
    <t>contrato de obra/servicios sujeto a las siguientes cláusulas y condiciones:</t>
  </si>
  <si>
    <r>
      <rPr>
        <b/>
        <sz val="10"/>
        <rFont val="Segoe UI"/>
        <family val="2"/>
      </rPr>
      <t>SEGUNDA:</t>
    </r>
    <r>
      <rPr>
        <sz val="10"/>
        <rFont val="Segoe UI"/>
        <family val="2"/>
      </rPr>
      <t xml:space="preserve"> La Municipalidad de Villa de Las Rosas abonará al locador, la suma de:</t>
    </r>
    <r>
      <rPr>
        <sz val="14"/>
        <rFont val="Times New Roman"/>
        <family val="1"/>
      </rPr>
      <t xml:space="preserve"> </t>
    </r>
  </si>
  <si>
    <t xml:space="preserve"> cargas sociales, impositivas nacionales y provinciales, etc. todos estos serán asumidos en forma exclusiva por la contratista tanto en lo que respecta a su persona como a los empleados a contratar.</t>
  </si>
  <si>
    <t xml:space="preserve"> exclusiva por la contratista tanto en lo que respecta a su persona como a los empleados a contratar.</t>
  </si>
  <si>
    <t xml:space="preserve">autorizada expresamente. </t>
  </si>
  <si>
    <r>
      <rPr>
        <b/>
        <sz val="10"/>
        <rFont val="Segoe UI"/>
        <family val="2"/>
      </rPr>
      <t>SEXTA:</t>
    </r>
    <r>
      <rPr>
        <sz val="10"/>
        <rFont val="Segoe UI"/>
        <family val="2"/>
      </rPr>
      <t xml:space="preserve"> Para cualquier gestión judicial, extrajudicial derivada del presente, las partes se someten a los tribunales ordinarios de Villa Dolores, haciendo expresa renuncia a cualquier otro que pudiera corresponderles. Previa lectura y ratificación, se firman dos ejemplares de un mismo tenor y a un solo efecto, en lugar y fecha indicados ut-supra. </t>
    </r>
  </si>
  <si>
    <t xml:space="preserve"> tribunales ordinarios de Villa Dolores, haciendo expresa renuncia a cualquier otro que pudiera corresponderles. Previa lectura y ratificación, se firman dos ejemplares de un mismo tenor y a un solo efecto, en lugar y fecha indicados ut-supra. </t>
  </si>
  <si>
    <t xml:space="preserve"> corresponderles. Previa lectura y ratificación, se firman dos ejemplares de un mismo tenor y a un solo efecto, en lugar y fecha indicados ut-supra. </t>
  </si>
  <si>
    <t xml:space="preserve"> solo efecto, en lugar y fecha indicados ut-supra. </t>
  </si>
  <si>
    <r>
      <rPr>
        <b/>
        <sz val="10"/>
        <rFont val="Segoe UI"/>
        <family val="2"/>
      </rPr>
      <t xml:space="preserve">CUARTA: </t>
    </r>
    <r>
      <rPr>
        <sz val="10"/>
        <rFont val="Segoe UI"/>
        <family val="2"/>
      </rPr>
      <t>El plazo del cumplimiento del presente contrato es por el termino de</t>
    </r>
  </si>
  <si>
    <t>de limpieza y mantenimiento en el balneario y camping guasmara (28 horas) a $25 la hora-------------</t>
  </si>
  <si>
    <t xml:space="preserve"> '-----------------------------------------------------------------------------------------------------------------------</t>
  </si>
  <si>
    <t xml:space="preserve"> ------------------------------------------------------------------------------------------------------------------------------</t>
  </si>
  <si>
    <t>a partir del dia de la fecha</t>
  </si>
  <si>
    <t xml:space="preserve">Sanchez Barbara </t>
  </si>
  <si>
    <t>--------------------------------------------------------------------------------------------------------------------</t>
  </si>
  <si>
    <t>limpieza y  mantenimiento del Balneario y Camping Guasmara 56 horas de trabajo a ($25 por</t>
  </si>
  <si>
    <t>hora)------- ---------------------------------------------------------------------------------------------------------</t>
  </si>
  <si>
    <t>Sanchez Norma</t>
  </si>
  <si>
    <t>Salustiano Sanchez</t>
  </si>
  <si>
    <t>Liliana Pereira</t>
  </si>
  <si>
    <t xml:space="preserve">Guasmara Este </t>
  </si>
  <si>
    <t>Arguello Alejandra</t>
  </si>
  <si>
    <t>limpieza y  mantenimiento del Balneario y Camping Guasmara 21 horas de trabajo a ($25 por</t>
  </si>
  <si>
    <t>Sargento Cabral</t>
  </si>
  <si>
    <t>Leopoldo Lugones</t>
  </si>
  <si>
    <t>Dominguez Sergio</t>
  </si>
  <si>
    <t>limpieza y  mantenimiento del Balneario y Camping Guasmara 28 horas de trabajo a ($25 por</t>
  </si>
  <si>
    <t>La Aguadita</t>
  </si>
  <si>
    <t>Villa de las rosas</t>
  </si>
  <si>
    <t>Av. Intiguan</t>
  </si>
  <si>
    <t>----------------------------------------------------------------------------------------------</t>
  </si>
  <si>
    <t xml:space="preserve">Muro de piedra vista 170 ML a ($ 160ML), 6 pilares de piedra vista a ( $400 c/u), en la Plazoleta </t>
  </si>
  <si>
    <t>del barrio San Javier------------------------------------------------------------------------------------------------</t>
  </si>
  <si>
    <t xml:space="preserve">por todo concepto que </t>
  </si>
  <si>
    <t>seran abonados semanalmente según avance de obra realizado por este municipio</t>
  </si>
  <si>
    <t>CONTRATO DE LOCACION DE OBRAS</t>
  </si>
  <si>
    <t>Dominguez German Alberto</t>
  </si>
  <si>
    <t>Dominguez Miguel</t>
  </si>
  <si>
    <t>Las Chacras</t>
  </si>
  <si>
    <t>-------------------------------------------------------------------------------------------------------------------------</t>
  </si>
  <si>
    <t xml:space="preserve">Arreglo de 3 asadores, de 1 mesas, y 4 bancos  en el parador "El Valle"----------------------- </t>
  </si>
  <si>
    <t>Pereyra Mario Alfredo</t>
  </si>
  <si>
    <t xml:space="preserve">Kilmaco Leyes </t>
  </si>
  <si>
    <t xml:space="preserve">Ayuda social en la casa de Luciana Pereira:desarme de techos de teja a  ($1200), realización de  </t>
  </si>
  <si>
    <t xml:space="preserve">2 vigetas a ($2000), anivelar para el techo ($1000), 22mtrs.de techo loza a ($220 m2), 40 mtrs.de  </t>
  </si>
  <si>
    <t>pared de block a ($90m2), 18 mtrs. de encadenado a ($100), colocacion de puerta y ventana ($1200), abrir abertura para escaleras y lintel a ($800),  de bolseado 54mtrs. a ($70m2), realizacion de carpeta para el piso a ($40 m2), levantar pared para un asador ($1200), 4 columnas a ($1100), 22mtrs. de techo de madera a ($220), electrisidad  a ($1000).</t>
  </si>
  <si>
    <t xml:space="preserve">Colocación de  49m2  de tejuela a ($160m2),  colocación de una puerta en el sotano, una puerta </t>
  </si>
  <si>
    <t>reja , y dos rejas a ($1500) en el quincho del salon comunitario de "Las Chacras"----------------------</t>
  </si>
  <si>
    <t xml:space="preserve">Intiguan </t>
  </si>
  <si>
    <t>Oscar Arguello</t>
  </si>
  <si>
    <t xml:space="preserve">Realizacion de 135mt2 de  contrapiso y colocación de tejuelas a ($170mt2), y 90mtl de cordon  </t>
  </si>
  <si>
    <t>cuneta a ($100 mtl) en la Plazoleta del Barrio "San Javier"---------------------------------------------------</t>
  </si>
  <si>
    <t xml:space="preserve">Los Molles </t>
  </si>
  <si>
    <t>Rodolfo Cesar Bustos</t>
  </si>
  <si>
    <t>Realización de 500Mtrs. de cordon cuneta a $100 Mtr.Linial en la calle "Córdoba"---------------------</t>
  </si>
  <si>
    <t>------------------------------------------------------------------------------------------------------------------------</t>
  </si>
  <si>
    <t>------------------------------------------------------------------------------------------------------------------</t>
  </si>
  <si>
    <t xml:space="preserve">Cavado y llenado de 40 Mtrs. Lineales de cimineto a $ 60 el Mtr Lineal; 48 Mtr2 de muro de piedra </t>
  </si>
  <si>
    <t xml:space="preserve"> vista a $160 el mtr2,(maceteros) y un pilar de luz de piedra vista a $1800 en la "Plazoleta del  </t>
  </si>
  <si>
    <t>Barrio San Javier----------------------------------------------------------------------------------------------</t>
  </si>
  <si>
    <t>10 mts lineales de cimiento a $60 el mt. lineal y 24 mts de muro de piedra vista a $160 el mt2.-----</t>
  </si>
  <si>
    <t>en Plazoleta Barrio San Javier------------------------------------------------------------------------------------------</t>
  </si>
  <si>
    <t>---------------------------------------------------------------------------------------------------------------------------</t>
  </si>
  <si>
    <t>47 mts lineales de cimiento a $60 el mt, 75 mt2 de muro de piedra vista a $160 el mt2, 1 pilar de</t>
  </si>
  <si>
    <t>----------------------------------------------------------------------------------------------------------------------------</t>
  </si>
  <si>
    <t>luz a $1800 y 2 pilares de 1mt de altura a $400 c/u. en Plazoleta del B° San Miguel------------------------</t>
  </si>
  <si>
    <t>217 mts 2 de reboque grueso y fino a $70 el mt2 y colocacion de 7 aberturas a $400 c/u en la casa--</t>
  </si>
  <si>
    <t>de Lucia Viuda de Pavessi (Ayuda Social)-----------------------------------------------------------------------------</t>
  </si>
  <si>
    <t>Climaco Leyes</t>
  </si>
  <si>
    <t xml:space="preserve"> la construcción de 550 Mts lineales de cordón cuneta a $100 el mt. lineal, en la calle Salustiano</t>
  </si>
  <si>
    <t>Sanchez-----------------------------------------------------------------------------------------------------------------------</t>
  </si>
  <si>
    <t>Calle Oscura</t>
  </si>
  <si>
    <t>días</t>
  </si>
  <si>
    <t>fecha</t>
  </si>
  <si>
    <t>CONTRATO Nº</t>
  </si>
  <si>
    <t>BUSTOS RODOLFO CESAR</t>
  </si>
  <si>
    <t>VILLAFAÑE MAURO MARIO</t>
  </si>
  <si>
    <t>Miguel Cane</t>
  </si>
  <si>
    <t>la contrucción de 500 mts. lineales de cordón cuneta a $120 el mt. lineal, en la calle Sierras Grdes.</t>
  </si>
  <si>
    <t>64 mts. lineales de pared de anivelación a $160 mt lineal, 64 mt.lineal de encadenado a $ 90 el mt.---</t>
  </si>
  <si>
    <t>Miguel Agulles</t>
  </si>
  <si>
    <t>lineal, 11 zapatas a $ 250 c/u, 80 mt 2 de reboque gruezo a $90 el mt2, en la casa de IVANA------------</t>
  </si>
  <si>
    <t>BEZMALINOVICH (Ayuda Social)----------------------------------------------------------------------------------</t>
  </si>
  <si>
    <t>DOMINGUEZ MARIO ADRIAN</t>
  </si>
  <si>
    <t>25 mt2 de armado de techo de madera con chapa a $200 el mt2.en la casa de Isabel Rosales -------</t>
  </si>
  <si>
    <t>(Ayuda Social)----------------------------------------------------------------------------------------------------------------</t>
  </si>
  <si>
    <t>-----------------------------------------------------------------------------------------------------------------------------</t>
  </si>
  <si>
    <t>Calle Publica</t>
  </si>
  <si>
    <t>Las Rabonas</t>
  </si>
  <si>
    <t>JUAREZ EDGARDO</t>
  </si>
  <si>
    <t>Achiras Arriba</t>
  </si>
  <si>
    <t>SAN JAVIER</t>
  </si>
  <si>
    <t>LESCANO JOSE ERNALDO</t>
  </si>
  <si>
    <t>la capa aisladora $4000 y 32 mts. lineales de capa aisladora a $45 el mt. lineal en la casa de Romero</t>
  </si>
  <si>
    <t>Cristian Orlando(Ayuda Social) en Rodeo de Piedra----------------------------------------------------------</t>
  </si>
  <si>
    <t xml:space="preserve"> cavado y llenado de cimiento de 32 mts lineales a $230 el mt.,nivelación con mamposteria  hasta la </t>
  </si>
  <si>
    <t>144,96 mt2 a $110 el mt2 de mampostería de elevación de block, 45,30 mt. lineales a $130 el mt. ----</t>
  </si>
  <si>
    <t>lineal de encadenado horizontal superior y mampostería de nivelación $2000--------------------------------</t>
  </si>
  <si>
    <t xml:space="preserve">Ricardo Rojas </t>
  </si>
  <si>
    <t>28 mt2 de muro de piedra a $160 el m2, 20 mts lineales de cimiento a$60 el mt. lineal,2 pilares de ---</t>
  </si>
  <si>
    <t>de piedra vista de 1 mt de altura a $400 c/u en los canteros de la plazoleta del B San Miguel-------------</t>
  </si>
  <si>
    <t>OLIVA OSVALDO ARGENTINO</t>
  </si>
  <si>
    <t>San Miguel</t>
  </si>
  <si>
    <t>villa del</t>
  </si>
  <si>
    <t>Pintura de la pared del Frente de la Iglesia y del Salon de la Iglesia Evangelica "Asamblea de-----------</t>
  </si>
  <si>
    <t>Dios"---------------------------------------------------------------------------------------------------------------------------</t>
  </si>
  <si>
    <t>DECHIA ANDRES</t>
  </si>
  <si>
    <t>AV. ESPAÑA</t>
  </si>
  <si>
    <t>Evento dia 31/05/2015 actuacion de Magia Plazoleta Las Caleras</t>
  </si>
  <si>
    <t>Mercado, José Gabriel</t>
  </si>
  <si>
    <t>20 mts lineales de cordon en la tela perimetral a $40 el mt. lineal, y 40 mts. lineales de vereda a $----</t>
  </si>
  <si>
    <t>60 el mt. lineal en el Jardín de Infantes "Niñas de Ayohuma" en Los Pozos------------------------------------</t>
  </si>
  <si>
    <t xml:space="preserve">19 mt2 de loza armada a $260 el mt2 en el baño de la Escuela "Esteban Echeverria" de Las </t>
  </si>
  <si>
    <t>Chacras -----------------------------------------------------------------------------------------------------------------------</t>
  </si>
  <si>
    <t>Vallejo Arturo Alberto</t>
  </si>
  <si>
    <t>instalación completa de baño $5000, y 50 mt2 de reboque grueso a $70 el mt2 en la casa de ---------</t>
  </si>
  <si>
    <t>Florencia Becerra (Ayuda Social)----------------------------------------------------------------------------------------</t>
  </si>
  <si>
    <t>Arguello, Jeronimo Cesar</t>
  </si>
  <si>
    <t xml:space="preserve">nivelación a $80 el mt. ,6 mt lineal de viga riostra a $120 el mt lineales.,31,20 mt lineales de capa </t>
  </si>
  <si>
    <t>para la construcción de 25,40 mts lineales de zapata corrida a $200 el mt. lineal, 13 mts lineales de</t>
  </si>
  <si>
    <t>ailadora a $ 54 el mt. lineal, en la casa Sr. Jonathan Jesus Ureta (Ayuda Social)----------------------</t>
  </si>
  <si>
    <t>38 mt2 de reboque grueso y fino a $ 130 el mt2 en los baño de la Escuela "Escuela Esteban ---------</t>
  </si>
  <si>
    <t>Echeverria" de Las Chacras----------------------------------------------------------------------------------------------</t>
  </si>
  <si>
    <t>instalación completa de baño $5000,en la casa de Laura Bustos Las Chacras (Ayuda Social)----------</t>
  </si>
  <si>
    <t>Klimaco Leyes</t>
  </si>
  <si>
    <t>OLMEDO JULIO ERNESTO</t>
  </si>
  <si>
    <t>11mt2 de cavado y llenado de cimiento,a $60 el mt2, 26 mt2 de mampostería a $90,en la casa de----</t>
  </si>
  <si>
    <t>Silvana Olmedo (Los Pozos)----------------------------------------------------------------------------------------------</t>
  </si>
  <si>
    <t>Los girasoles</t>
  </si>
  <si>
    <t>IRIARTE Hector Hugo</t>
  </si>
  <si>
    <t>la construcción de 50 mt. lineales de encadenado a $100 el mt lineal, 50 mt.lineales de cimiento------</t>
  </si>
  <si>
    <r>
      <t>$80 el mt. lineal, 50 mt. lineales de capa aisladora a $30 el mt. lineal y 50 mt.lineales de nivelación----</t>
    </r>
    <r>
      <rPr>
        <b/>
        <sz val="10"/>
        <rFont val="Arial"/>
        <family val="2"/>
      </rPr>
      <t>-</t>
    </r>
  </si>
  <si>
    <t>Edelmiro Oviedo</t>
  </si>
  <si>
    <t>a $ 20 el mt.lineal en la casa de Juan Javier Capochi (Ayuda Social)-------------------------------------</t>
  </si>
  <si>
    <t>Construcción de 550Mtrs. de cordon cuneta a $120 Mtr.Linial en la calle "Belgrano Sur,25 de Mayo---</t>
  </si>
  <si>
    <t>Sur,Pasaje 20 de Septiembre--------------------------------------------------------------------------------- -----------</t>
  </si>
  <si>
    <t xml:space="preserve">Domingez German Alberto </t>
  </si>
  <si>
    <t>Construccion de 11 mt.lineales de cimiento a $ 70 el mt.lineal,11 mt lineales de encadenado a $70 --</t>
  </si>
  <si>
    <t>el mt lineal, 2 pilares de piedra vista de 2mt de alto $3000, 40 mt.2 de muro de piedra vista a $160 mt</t>
  </si>
  <si>
    <t>2, en la casa de Marta Pantoja (Ayuda Social)------------------------------------------------------------------</t>
  </si>
  <si>
    <t>sn</t>
  </si>
  <si>
    <t>Arguello Jeronimo Cesar</t>
  </si>
  <si>
    <t>en la casa de Ureta Jonathan (Ayuda Social)-------------------------------------------------------------------------</t>
  </si>
  <si>
    <t>Contrucción de 44 mts2 de mampostería a $85 el mt2,15 mt. lineales de columnas  a $120 en  la-----</t>
  </si>
  <si>
    <t>contrucción de 2 pilares de piedra para puentes  $4500 y 4 asadores de ladrillos y cemento $800-----</t>
  </si>
  <si>
    <t>c/u en el Parador Atardecer en el Valle---------------------------------------------------------------------------------</t>
  </si>
  <si>
    <t>Funes Julio</t>
  </si>
  <si>
    <t>Construcción de 1 puente de 8mt.en madera con pilotes de madera y base cementada con -----------</t>
  </si>
  <si>
    <t>escalones y pintura en Sendero Los Zorzales------------------------------------------------------------------------</t>
  </si>
  <si>
    <t>El Pueblito</t>
  </si>
  <si>
    <t>Olmedo Carmen Luis</t>
  </si>
  <si>
    <t>Ruta 14</t>
  </si>
  <si>
    <t>Construcción de 577 mt. lineales a $60 el mt. lineal de tejido perimetral en el Camping Guasmara----</t>
  </si>
  <si>
    <t>Limpieza de los baños del Campig Guasmara 20 hs a $30, con el grupo de boy scout de Mina---------</t>
  </si>
  <si>
    <t>Clavero-------------------------------------------------------------------------------------------------------------------------</t>
  </si>
  <si>
    <t>Guasmara</t>
  </si>
  <si>
    <t>Molina Carlos Javier</t>
  </si>
  <si>
    <t xml:space="preserve">Colocación de 15 mt2 de ceramicos en el baño de la casa de María Nilda Aguirre (Ayuda Social)------ </t>
  </si>
  <si>
    <t>Salas José Antonio</t>
  </si>
  <si>
    <t>colocación de membrana liquida de cubierta de techo en el edificio municipal y Registro Civil-----------</t>
  </si>
  <si>
    <t>Del Milagro</t>
  </si>
  <si>
    <t>Olmedo, Rubén Arturo</t>
  </si>
  <si>
    <t>Construcción  de tabla de amaca y arreglo portón de ingreso en la Escuela Ricardo Guiraldes de----</t>
  </si>
  <si>
    <t>Los Molles---------------------------------------------------------------------------------------------------------------------</t>
  </si>
  <si>
    <t>Arreglo de puerta de ingreso $200,arreglo de puerta de contaduría $600,colocación de puerta del-----</t>
  </si>
  <si>
    <t>baño y arreglo de 1 puerta de placa en Intendencia.Todos estos trabajos se realizarón en el edificio --</t>
  </si>
  <si>
    <t>municipal----------------------------------------------------------------------------------------------------------------</t>
  </si>
  <si>
    <t>Ortega, Gustavo Alejandro</t>
  </si>
  <si>
    <t>lineal y 18 mts lineales de columna a $140 el mt lineal para cerrar el predio municipal----------------------</t>
  </si>
  <si>
    <t>Contrucción 34 mt2 de  muro de piedra vista a$200 el mt2., 15 mt.lineales de cimiento a $140 el mt.-</t>
  </si>
  <si>
    <t>CABIDO Luis Alejandro</t>
  </si>
  <si>
    <t>Fabricación de 3000  ladrillos de 12X18X33 a $6,50 C/U destinados a ayudas sociales ------------------</t>
  </si>
  <si>
    <t>Las Tapias</t>
  </si>
  <si>
    <t>Bustos Carlos Alberto</t>
  </si>
  <si>
    <t>Trabajos de electrisidad en el Balniario Guasmara, colocación de 15 tortugas, enchufes, y -------------</t>
  </si>
  <si>
    <t>reparación de cableado-----------------------------------------------------------------------------------------------------</t>
  </si>
  <si>
    <t>Del milagro</t>
  </si>
  <si>
    <t>Arreglos varios de las Oficinas del Registro Civil y Obras Públicas, Juzgado de Paz en el --------------</t>
  </si>
  <si>
    <t>edificio municipal------------------------------------------------------------------------------------------------------------</t>
  </si>
  <si>
    <t>LOPEZ MAURO</t>
  </si>
  <si>
    <t xml:space="preserve"> 49 horas a $ 60 la hora de Arreglo de calles-------------------------------------------------------------------------</t>
  </si>
  <si>
    <t>9 de Julio</t>
  </si>
  <si>
    <t>Vallejo yuliana</t>
  </si>
  <si>
    <t>Atención en la Posta de Información Turística-----------------------------------------------------------------------</t>
  </si>
  <si>
    <t>Los Eucaliptus</t>
  </si>
  <si>
    <t xml:space="preserve"> Magris Diogenes Gustavo</t>
  </si>
  <si>
    <t>Arreglo con pala cargadora en la calle La Aguadita 3 horas a $700 la hora ----------------------------------</t>
  </si>
  <si>
    <t>Luis Terzaga</t>
  </si>
  <si>
    <t>La Población</t>
  </si>
  <si>
    <t>vereda de la Iglesia de Fatima del Barrial-------------------------------------------------------------------------------</t>
  </si>
  <si>
    <t>24 mt2 de contrapiso y asentamiento de tejuelón y 13 mt.lineales de cordón a $40 el mt lineal en la--</t>
  </si>
  <si>
    <t xml:space="preserve">actuar con su grupo musical “ACHALAY” por $3500 (pesos TRES mil quinientos) y el grupo "LOS </t>
  </si>
  <si>
    <t xml:space="preserve">PATRICIOS" POR $ 12000 (pesos doce mil) en el evento llevado a cavo  el dia 05 de diciembre </t>
  </si>
  <si>
    <t>EN LA PLAZA SAN MARTIN…,,,,,,,,,,,,,,,,,,,,,,,,,,,,,,,,,,,,,,,,,,,,……………………</t>
  </si>
  <si>
    <t>BEQUI ANGEL</t>
  </si>
  <si>
    <t xml:space="preserve">actuar con su grupo musical “ANGEL EL SANTIAGUEÑO” por $3000 (pesos TRES mil) </t>
  </si>
  <si>
    <t>en el evento llevado a cavo  el dia 05 de diciembre---------------------------------------------------------------</t>
  </si>
  <si>
    <t xml:space="preserve">ARTURO ILIA </t>
  </si>
  <si>
    <t>LEYES JUAN RAMON</t>
  </si>
  <si>
    <t xml:space="preserve">actuar con su grupo musical “AGRUPACION 98” por $14000 (pesos CATORCE mil) </t>
  </si>
  <si>
    <t>YAPEYU</t>
  </si>
  <si>
    <t>VillafaÑE MAURO MARIO Gonzalo</t>
  </si>
  <si>
    <r>
      <t xml:space="preserve"> </t>
    </r>
    <r>
      <rPr>
        <sz val="10"/>
        <rFont val="Arial"/>
        <family val="2"/>
      </rPr>
      <t>Construcción de 450 mts lineales de Cordón Cuneta  a $ 120 el mt. lineal en la calle  Libertad--------- de esta villa-----</t>
    </r>
    <r>
      <rPr>
        <sz val="8"/>
        <rFont val="Arial"/>
        <family val="2"/>
      </rPr>
      <t>--------</t>
    </r>
  </si>
  <si>
    <t>de esta villa-------------------------------------------------------------------------------------------------------------------</t>
  </si>
  <si>
    <t xml:space="preserve">PIUSSI RAFAEL JOSÉ </t>
  </si>
  <si>
    <t>Mantenimiento plazoleta "Don Julio Asís", bajo supervision del Municipio. El Municipio abonara  el</t>
  </si>
  <si>
    <t>equivalente a la suma desde la 1° a la 6° cuota ($1272) del Servicio de Agua Corriente del año 2016</t>
  </si>
  <si>
    <t>Luis Tessandori</t>
  </si>
  <si>
    <t>2646.80</t>
  </si>
  <si>
    <t>(Cta. 538) y desde la 1° a la 6° cuota ($1374.80) de la Tasa de la Propiedad Año 2016.</t>
  </si>
  <si>
    <t>piedra vista a $500 el mt2,en 3 canteros en la Plaza San Martín-------------------------------------------------</t>
  </si>
  <si>
    <t>para la construcción de 38 mts. lineales de cimiento a $140 el mt. lineal y 38mts2 de muro de --------</t>
  </si>
  <si>
    <t>Intihuan</t>
  </si>
</sst>
</file>

<file path=xl/styles.xml><?xml version="1.0" encoding="utf-8"?>
<styleSheet xmlns="http://schemas.openxmlformats.org/spreadsheetml/2006/main">
  <numFmts count="6">
    <numFmt numFmtId="164" formatCode="_-* #,##0.00\ &quot;€&quot;_-;\-* #,##0.00\ &quot;€&quot;_-;_-* &quot;-&quot;??\ &quot;€&quot;_-;_-@_-"/>
    <numFmt numFmtId="165" formatCode="_ [$$-2C0A]\ * #,##0.00_ ;_ [$$-2C0A]\ * \-#,##0.00_ ;_ [$$-2C0A]\ * &quot;-&quot;??_ ;_ @_ "/>
    <numFmt numFmtId="166" formatCode="_ [$$-2C0A]\ * #,##0.\ ;_ [$$-2C0A]\ * \-#,##0.\ ;_ [$$-2C0A]\ * &quot;-&quot;_ ;_ @_ "/>
    <numFmt numFmtId="167" formatCode="&quot;los&quot;\ dd\ &quot;días del mes de&quot;\ mmmm\ &quot;de&quot;\ yyyy"/>
    <numFmt numFmtId="168" formatCode="[$$-2C0A]\ #,##0.00"/>
    <numFmt numFmtId="169" formatCode="_-[$$-340A]\ * #,##0.00_-;\-[$$-340A]\ * #,##0.00_-;_-[$$-340A]\ * &quot;-&quot;??_-;_-@_-"/>
  </numFmts>
  <fonts count="19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2"/>
      <name val="Segoe UI"/>
      <family val="2"/>
    </font>
    <font>
      <b/>
      <sz val="14"/>
      <name val="Segoe UI"/>
      <family val="2"/>
    </font>
    <font>
      <sz val="11"/>
      <name val="Segoe UI"/>
      <family val="2"/>
    </font>
    <font>
      <b/>
      <sz val="12"/>
      <name val="Segoe UI"/>
      <family val="2"/>
    </font>
    <font>
      <sz val="10"/>
      <name val="Segoe UI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Segoe UI"/>
      <family val="2"/>
    </font>
    <font>
      <i/>
      <sz val="10"/>
      <name val="Segoe UI"/>
      <family val="2"/>
    </font>
    <font>
      <sz val="14"/>
      <name val="Times New Roman"/>
      <family val="1"/>
    </font>
    <font>
      <b/>
      <sz val="9"/>
      <name val="Segoe UI"/>
      <family val="2"/>
    </font>
    <font>
      <b/>
      <sz val="8"/>
      <name val="Segoe UI"/>
      <family val="2"/>
    </font>
    <font>
      <b/>
      <sz val="11"/>
      <name val="Arial"/>
      <family val="2"/>
    </font>
    <font>
      <b/>
      <sz val="10"/>
      <color rgb="FFFF0000"/>
      <name val="Segoe UI"/>
      <family val="2"/>
    </font>
    <font>
      <b/>
      <sz val="11"/>
      <color rgb="FFFF0000"/>
      <name val="Segoe UI"/>
      <family val="2"/>
    </font>
  </fonts>
  <fills count="11">
    <fill>
      <patternFill patternType="none"/>
    </fill>
    <fill>
      <patternFill patternType="gray125"/>
    </fill>
    <fill>
      <patternFill patternType="lightUp">
        <fgColor indexed="31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31"/>
        <bgColor rgb="FFFFFF00"/>
      </patternFill>
    </fill>
    <fill>
      <patternFill patternType="solid">
        <fgColor rgb="FFFFFF00"/>
        <bgColor indexed="64"/>
      </patternFill>
    </fill>
    <fill>
      <patternFill patternType="lightUp">
        <fgColor indexed="31"/>
        <bgColor theme="0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8">
    <xf numFmtId="0" fontId="0" fillId="0" borderId="0" xfId="0"/>
    <xf numFmtId="0" fontId="3" fillId="0" borderId="0" xfId="0" applyNumberFormat="1" applyFont="1" applyAlignment="1">
      <alignment vertical="center"/>
    </xf>
    <xf numFmtId="0" fontId="3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7" fillId="0" borderId="0" xfId="0" applyNumberFormat="1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3" fillId="2" borderId="0" xfId="1" applyNumberFormat="1" applyFont="1" applyFill="1" applyBorder="1" applyAlignment="1">
      <alignment vertical="center"/>
    </xf>
    <xf numFmtId="0" fontId="3" fillId="2" borderId="0" xfId="1" applyNumberFormat="1" applyFont="1" applyFill="1" applyBorder="1" applyAlignment="1">
      <alignment horizontal="center" vertical="center"/>
    </xf>
    <xf numFmtId="165" fontId="3" fillId="2" borderId="0" xfId="1" applyNumberFormat="1" applyFont="1" applyFill="1" applyBorder="1" applyAlignment="1">
      <alignment vertical="center"/>
    </xf>
    <xf numFmtId="0" fontId="8" fillId="0" borderId="0" xfId="0" applyFont="1"/>
    <xf numFmtId="0" fontId="9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/>
    <xf numFmtId="0" fontId="9" fillId="0" borderId="0" xfId="0" applyFont="1" applyBorder="1"/>
    <xf numFmtId="0" fontId="9" fillId="0" borderId="0" xfId="0" applyFont="1" applyFill="1" applyBorder="1"/>
    <xf numFmtId="0" fontId="9" fillId="0" borderId="0" xfId="0" applyFont="1" applyAlignment="1">
      <alignment vertical="center"/>
    </xf>
    <xf numFmtId="165" fontId="3" fillId="2" borderId="0" xfId="1" applyNumberFormat="1" applyFont="1" applyFill="1" applyBorder="1" applyAlignment="1">
      <alignment vertical="center"/>
    </xf>
    <xf numFmtId="0" fontId="3" fillId="2" borderId="0" xfId="1" applyNumberFormat="1" applyFont="1" applyFill="1" applyBorder="1" applyAlignment="1">
      <alignment vertical="center"/>
    </xf>
    <xf numFmtId="0" fontId="3" fillId="2" borderId="0" xfId="1" applyNumberFormat="1" applyFont="1" applyFill="1" applyBorder="1" applyAlignment="1">
      <alignment horizontal="center" vertical="center"/>
    </xf>
    <xf numFmtId="0" fontId="8" fillId="4" borderId="2" xfId="0" applyFont="1" applyFill="1" applyBorder="1"/>
    <xf numFmtId="0" fontId="8" fillId="3" borderId="2" xfId="0" applyFont="1" applyFill="1" applyBorder="1"/>
    <xf numFmtId="0" fontId="8" fillId="5" borderId="2" xfId="0" applyFont="1" applyFill="1" applyBorder="1"/>
    <xf numFmtId="3" fontId="8" fillId="0" borderId="2" xfId="0" applyNumberFormat="1" applyFont="1" applyBorder="1"/>
    <xf numFmtId="0" fontId="8" fillId="0" borderId="2" xfId="0" applyFont="1" applyFill="1" applyBorder="1"/>
    <xf numFmtId="0" fontId="8" fillId="0" borderId="2" xfId="0" applyFont="1" applyFill="1" applyBorder="1" applyAlignment="1">
      <alignment horizontal="left"/>
    </xf>
    <xf numFmtId="3" fontId="8" fillId="0" borderId="2" xfId="0" applyNumberFormat="1" applyFont="1" applyFill="1" applyBorder="1"/>
    <xf numFmtId="3" fontId="8" fillId="5" borderId="2" xfId="0" applyNumberFormat="1" applyFont="1" applyFill="1" applyBorder="1"/>
    <xf numFmtId="0" fontId="8" fillId="6" borderId="2" xfId="0" applyFont="1" applyFill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3" borderId="0" xfId="0" applyFont="1" applyFill="1"/>
    <xf numFmtId="0" fontId="8" fillId="0" borderId="2" xfId="0" applyFont="1" applyBorder="1"/>
    <xf numFmtId="0" fontId="8" fillId="0" borderId="0" xfId="0" applyFont="1" applyFill="1" applyAlignment="1">
      <alignment horizontal="left"/>
    </xf>
    <xf numFmtId="165" fontId="0" fillId="0" borderId="0" xfId="0" applyNumberFormat="1"/>
    <xf numFmtId="0" fontId="3" fillId="7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vertical="center"/>
    </xf>
    <xf numFmtId="0" fontId="3" fillId="2" borderId="0" xfId="1" applyNumberFormat="1" applyFont="1" applyFill="1" applyBorder="1" applyAlignment="1">
      <alignment horizontal="center" vertical="center"/>
    </xf>
    <xf numFmtId="165" fontId="3" fillId="2" borderId="0" xfId="1" applyNumberFormat="1" applyFont="1" applyFill="1" applyBorder="1" applyAlignment="1">
      <alignment vertical="center"/>
    </xf>
    <xf numFmtId="165" fontId="3" fillId="2" borderId="0" xfId="1" applyNumberFormat="1" applyFont="1" applyFill="1" applyBorder="1" applyAlignment="1">
      <alignment vertical="center"/>
    </xf>
    <xf numFmtId="0" fontId="3" fillId="2" borderId="0" xfId="1" applyNumberFormat="1" applyFont="1" applyFill="1" applyBorder="1" applyAlignment="1">
      <alignment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vertical="center"/>
    </xf>
    <xf numFmtId="0" fontId="7" fillId="0" borderId="0" xfId="0" applyFont="1" applyAlignment="1">
      <alignment horizontal="distributed" vertical="center" wrapText="1" readingOrder="1"/>
    </xf>
    <xf numFmtId="0" fontId="7" fillId="0" borderId="0" xfId="0" applyFont="1" applyAlignment="1">
      <alignment vertical="center" wrapText="1" readingOrder="1"/>
    </xf>
    <xf numFmtId="0" fontId="8" fillId="0" borderId="2" xfId="0" applyFont="1" applyBorder="1" applyAlignment="1">
      <alignment horizontal="center"/>
    </xf>
    <xf numFmtId="0" fontId="8" fillId="8" borderId="2" xfId="0" applyFont="1" applyFill="1" applyBorder="1"/>
    <xf numFmtId="0" fontId="1" fillId="0" borderId="0" xfId="0" applyFont="1"/>
    <xf numFmtId="0" fontId="1" fillId="0" borderId="0" xfId="0" applyFont="1" applyAlignment="1">
      <alignment wrapText="1" shrinkToFit="1"/>
    </xf>
    <xf numFmtId="168" fontId="8" fillId="3" borderId="2" xfId="0" applyNumberFormat="1" applyFont="1" applyFill="1" applyBorder="1" applyAlignment="1">
      <alignment horizontal="right"/>
    </xf>
    <xf numFmtId="0" fontId="7" fillId="0" borderId="0" xfId="0" applyFont="1" applyAlignment="1">
      <alignment horizontal="right" vertical="center" readingOrder="1"/>
    </xf>
    <xf numFmtId="0" fontId="5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8" fillId="8" borderId="3" xfId="0" applyFont="1" applyFill="1" applyBorder="1"/>
    <xf numFmtId="3" fontId="8" fillId="0" borderId="3" xfId="0" applyNumberFormat="1" applyFont="1" applyFill="1" applyBorder="1"/>
    <xf numFmtId="0" fontId="1" fillId="0" borderId="0" xfId="0" applyFont="1" applyFill="1" applyBorder="1" applyAlignment="1">
      <alignment wrapText="1" shrinkToFit="1"/>
    </xf>
    <xf numFmtId="0" fontId="1" fillId="0" borderId="0" xfId="0" quotePrefix="1" applyFont="1" applyAlignment="1">
      <alignment wrapText="1" shrinkToFit="1"/>
    </xf>
    <xf numFmtId="168" fontId="8" fillId="3" borderId="3" xfId="0" applyNumberFormat="1" applyFont="1" applyFill="1" applyBorder="1" applyAlignment="1">
      <alignment horizontal="right"/>
    </xf>
    <xf numFmtId="168" fontId="0" fillId="0" borderId="0" xfId="0" applyNumberFormat="1"/>
    <xf numFmtId="168" fontId="8" fillId="0" borderId="0" xfId="0" applyNumberFormat="1" applyFont="1"/>
    <xf numFmtId="166" fontId="7" fillId="7" borderId="0" xfId="0" applyNumberFormat="1" applyFont="1" applyFill="1" applyBorder="1" applyAlignment="1">
      <alignment horizontal="left" vertical="center"/>
    </xf>
    <xf numFmtId="0" fontId="7" fillId="0" borderId="0" xfId="0" applyFont="1" applyAlignment="1">
      <alignment vertical="center" wrapText="1" readingOrder="1"/>
    </xf>
    <xf numFmtId="0" fontId="7" fillId="0" borderId="0" xfId="0" applyFont="1" applyAlignment="1">
      <alignment horizontal="distributed" vertical="center" wrapText="1" readingOrder="1"/>
    </xf>
    <xf numFmtId="0" fontId="7" fillId="0" borderId="0" xfId="0" applyFont="1" applyAlignment="1">
      <alignment vertical="center" wrapText="1" readingOrder="1"/>
    </xf>
    <xf numFmtId="0" fontId="7" fillId="0" borderId="0" xfId="0" applyFont="1" applyAlignment="1">
      <alignment horizontal="distributed" vertical="center" wrapText="1" readingOrder="1"/>
    </xf>
    <xf numFmtId="3" fontId="0" fillId="0" borderId="0" xfId="0" applyNumberFormat="1"/>
    <xf numFmtId="3" fontId="8" fillId="0" borderId="4" xfId="0" applyNumberFormat="1" applyFont="1" applyFill="1" applyBorder="1"/>
    <xf numFmtId="0" fontId="0" fillId="0" borderId="0" xfId="0" quotePrefix="1"/>
    <xf numFmtId="14" fontId="0" fillId="0" borderId="0" xfId="0" applyNumberFormat="1"/>
    <xf numFmtId="0" fontId="16" fillId="0" borderId="2" xfId="0" applyFont="1" applyBorder="1" applyAlignment="1">
      <alignment horizontal="center"/>
    </xf>
    <xf numFmtId="168" fontId="16" fillId="0" borderId="0" xfId="0" applyNumberFormat="1" applyFont="1"/>
    <xf numFmtId="0" fontId="16" fillId="0" borderId="0" xfId="0" applyFont="1"/>
    <xf numFmtId="16" fontId="0" fillId="0" borderId="0" xfId="0" applyNumberFormat="1"/>
    <xf numFmtId="0" fontId="2" fillId="0" borderId="0" xfId="0" applyFont="1"/>
    <xf numFmtId="3" fontId="8" fillId="0" borderId="0" xfId="0" applyNumberFormat="1" applyFont="1"/>
    <xf numFmtId="0" fontId="7" fillId="0" borderId="0" xfId="0" applyFont="1" applyAlignment="1">
      <alignment horizontal="distributed" vertical="center" wrapText="1" readingOrder="1"/>
    </xf>
    <xf numFmtId="0" fontId="11" fillId="7" borderId="0" xfId="1" applyNumberFormat="1" applyFont="1" applyFill="1" applyBorder="1" applyAlignment="1">
      <alignment horizontal="left" vertical="top"/>
    </xf>
    <xf numFmtId="0" fontId="7" fillId="0" borderId="0" xfId="0" applyFont="1" applyAlignment="1">
      <alignment horizontal="left" vertical="center" wrapText="1" readingOrder="1"/>
    </xf>
    <xf numFmtId="0" fontId="11" fillId="7" borderId="0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readingOrder="1"/>
    </xf>
    <xf numFmtId="3" fontId="11" fillId="7" borderId="0" xfId="1" applyNumberFormat="1" applyFont="1" applyFill="1" applyBorder="1" applyAlignment="1">
      <alignment horizontal="center" vertical="center"/>
    </xf>
    <xf numFmtId="0" fontId="14" fillId="7" borderId="0" xfId="1" applyNumberFormat="1" applyFont="1" applyFill="1" applyBorder="1" applyAlignment="1">
      <alignment horizontal="center" vertical="top"/>
    </xf>
    <xf numFmtId="165" fontId="11" fillId="7" borderId="0" xfId="1" applyNumberFormat="1" applyFont="1" applyFill="1" applyBorder="1" applyAlignment="1">
      <alignment horizontal="left" vertical="top"/>
    </xf>
    <xf numFmtId="0" fontId="7" fillId="9" borderId="0" xfId="1" applyNumberFormat="1" applyFont="1" applyFill="1" applyBorder="1" applyAlignment="1">
      <alignment horizontal="center" vertical="top"/>
    </xf>
    <xf numFmtId="0" fontId="11" fillId="7" borderId="0" xfId="1" applyNumberFormat="1" applyFont="1" applyFill="1" applyBorder="1" applyAlignment="1">
      <alignment horizontal="center" vertical="top"/>
    </xf>
    <xf numFmtId="0" fontId="4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 readingOrder="1"/>
    </xf>
    <xf numFmtId="165" fontId="11" fillId="7" borderId="0" xfId="1" applyNumberFormat="1" applyFont="1" applyFill="1" applyBorder="1" applyAlignment="1">
      <alignment horizontal="center" vertical="top"/>
    </xf>
    <xf numFmtId="167" fontId="15" fillId="7" borderId="0" xfId="1" applyNumberFormat="1" applyFont="1" applyFill="1" applyBorder="1" applyAlignment="1">
      <alignment horizontal="center" vertical="top"/>
    </xf>
    <xf numFmtId="169" fontId="14" fillId="7" borderId="0" xfId="1" applyNumberFormat="1" applyFont="1" applyFill="1" applyBorder="1" applyAlignment="1">
      <alignment horizontal="center" vertical="top" wrapText="1"/>
    </xf>
    <xf numFmtId="166" fontId="11" fillId="7" borderId="0" xfId="0" applyNumberFormat="1" applyFont="1" applyFill="1" applyBorder="1" applyAlignment="1">
      <alignment horizontal="left" vertical="center"/>
    </xf>
    <xf numFmtId="0" fontId="17" fillId="0" borderId="0" xfId="0" applyFont="1" applyAlignment="1">
      <alignment horizontal="center" vertical="center" wrapText="1" readingOrder="1"/>
    </xf>
    <xf numFmtId="0" fontId="18" fillId="10" borderId="0" xfId="0" applyFont="1" applyFill="1" applyAlignment="1">
      <alignment horizontal="center" vertical="center" wrapText="1" readingOrder="1"/>
    </xf>
    <xf numFmtId="0" fontId="7" fillId="0" borderId="0" xfId="0" applyFont="1" applyAlignment="1">
      <alignment vertical="center" wrapText="1" readingOrder="1"/>
    </xf>
    <xf numFmtId="0" fontId="14" fillId="7" borderId="0" xfId="1" applyNumberFormat="1" applyFont="1" applyFill="1" applyBorder="1" applyAlignment="1">
      <alignment horizontal="center" vertical="top" wrapText="1"/>
    </xf>
  </cellXfs>
  <cellStyles count="2">
    <cellStyle name="Moneda" xfId="1" builtinId="4"/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NTADOR%20ALBORNOZ/a&#241;o%202013/ASISTENCIA%20PERSONAL/FEBRERO%202013/FEBRERO%202013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anco"/>
      <sheetName val="Permanentes"/>
      <sheetName val="Contratados"/>
      <sheetName val="PEL"/>
      <sheetName val="Hoja1"/>
      <sheetName val="CARGARNOVEDADES"/>
      <sheetName val="Hoja2"/>
      <sheetName val="ADELANTOS"/>
      <sheetName val="Concejales"/>
      <sheetName val="PRESTAMOS S"/>
      <sheetName val="FEDERACION"/>
      <sheetName val="SITRAM"/>
      <sheetName val="Asiento"/>
      <sheetName val="CUADRO DE MANDO"/>
      <sheetName val="ASIGNACIONES FAMILIARES "/>
      <sheetName val="CALCULO ART "/>
      <sheetName val="Hoja3"/>
    </sheetNames>
    <sheetDataSet>
      <sheetData sheetId="0"/>
      <sheetData sheetId="1"/>
      <sheetData sheetId="2">
        <row r="1">
          <cell r="A1" t="str">
            <v>Apellido y Nombres</v>
          </cell>
        </row>
        <row r="2">
          <cell r="A2" t="str">
            <v>Zapata, Eliana Gisela</v>
          </cell>
        </row>
        <row r="3">
          <cell r="A3" t="str">
            <v>Vergara, Lilia Ines</v>
          </cell>
        </row>
        <row r="4">
          <cell r="A4" t="str">
            <v>Totales</v>
          </cell>
        </row>
        <row r="5">
          <cell r="A5" t="str">
            <v>Tapia, Omar</v>
          </cell>
        </row>
        <row r="6">
          <cell r="A6" t="str">
            <v>Sosa, María Alejandra</v>
          </cell>
        </row>
        <row r="7">
          <cell r="A7" t="str">
            <v>Sosa, Claudia Marta</v>
          </cell>
        </row>
        <row r="8">
          <cell r="A8" t="str">
            <v>Santillán, José</v>
          </cell>
        </row>
        <row r="9">
          <cell r="A9" t="str">
            <v>Sanchez, Carlos Adan</v>
          </cell>
        </row>
        <row r="10">
          <cell r="A10" t="str">
            <v>Sallefranque, Gladis</v>
          </cell>
        </row>
        <row r="11">
          <cell r="A11" t="str">
            <v>Ruiz Barruti, Princesa</v>
          </cell>
        </row>
        <row r="12">
          <cell r="A12" t="str">
            <v>Romero, Raquel</v>
          </cell>
        </row>
        <row r="13">
          <cell r="A13" t="str">
            <v>Romero, Mónica</v>
          </cell>
        </row>
        <row r="14">
          <cell r="A14" t="str">
            <v>Rodriguez, Mario Horacio</v>
          </cell>
        </row>
        <row r="15">
          <cell r="A15" t="str">
            <v>Rébora, Enrique Facundo</v>
          </cell>
        </row>
        <row r="16">
          <cell r="A16" t="str">
            <v>Ramirez, Luis</v>
          </cell>
        </row>
        <row r="17">
          <cell r="A17" t="str">
            <v>Ramirez, Facundo</v>
          </cell>
        </row>
        <row r="18">
          <cell r="A18" t="str">
            <v>Ramirez, Domingo Alberto</v>
          </cell>
        </row>
        <row r="19">
          <cell r="A19" t="str">
            <v>Ramirez, Diego Alberto</v>
          </cell>
        </row>
        <row r="20">
          <cell r="A20" t="str">
            <v>Ramirez, Adrian</v>
          </cell>
        </row>
        <row r="21">
          <cell r="A21" t="str">
            <v>Perez, Miriam Natalia</v>
          </cell>
        </row>
        <row r="22">
          <cell r="A22" t="str">
            <v>Perez, Matías</v>
          </cell>
        </row>
        <row r="23">
          <cell r="A23" t="str">
            <v>Perez, Erica Soledad</v>
          </cell>
        </row>
        <row r="24">
          <cell r="A24" t="str">
            <v>Pereyra Varas, Maria Celeste</v>
          </cell>
        </row>
        <row r="25">
          <cell r="A25" t="str">
            <v>Oviedo, Teresita</v>
          </cell>
        </row>
        <row r="26">
          <cell r="A26" t="str">
            <v>Oviedo, Pablo</v>
          </cell>
        </row>
        <row r="27">
          <cell r="A27" t="str">
            <v>ORTIZ, Carolina Cecilia del Rosario</v>
          </cell>
        </row>
        <row r="28">
          <cell r="A28" t="str">
            <v>Ortega, Matias Ezequiel</v>
          </cell>
        </row>
        <row r="29">
          <cell r="A29" t="str">
            <v>Ortega, Jorge Enrique</v>
          </cell>
        </row>
        <row r="30">
          <cell r="A30" t="str">
            <v>Olmedo, Mónica</v>
          </cell>
        </row>
        <row r="31">
          <cell r="A31" t="str">
            <v>Olmedo, Gabriela</v>
          </cell>
        </row>
        <row r="32">
          <cell r="A32" t="str">
            <v>Olmedo, Ariana Noelia</v>
          </cell>
        </row>
        <row r="33">
          <cell r="A33" t="str">
            <v>Olmedo, Alberto</v>
          </cell>
        </row>
        <row r="34">
          <cell r="A34" t="str">
            <v>Oliva, Laura Inés</v>
          </cell>
        </row>
        <row r="35">
          <cell r="A35" t="str">
            <v>Oliva, Guillermo</v>
          </cell>
        </row>
        <row r="36">
          <cell r="A36" t="str">
            <v>Muñoz, Susana Raquel</v>
          </cell>
        </row>
        <row r="37">
          <cell r="A37" t="str">
            <v>Mores, Nelson Exequiel</v>
          </cell>
        </row>
        <row r="38">
          <cell r="A38" t="str">
            <v>Montenegro, Luciana</v>
          </cell>
        </row>
        <row r="39">
          <cell r="A39" t="str">
            <v>Molina, Julio</v>
          </cell>
        </row>
        <row r="40">
          <cell r="A40" t="str">
            <v>Molina, Aldo</v>
          </cell>
        </row>
        <row r="41">
          <cell r="A41" t="str">
            <v>Manzone, Adrian Marcelo</v>
          </cell>
        </row>
        <row r="42">
          <cell r="A42" t="str">
            <v>Mancera, Maximiliano</v>
          </cell>
        </row>
        <row r="43">
          <cell r="A43" t="str">
            <v>López, Verónica Patricia</v>
          </cell>
        </row>
        <row r="44">
          <cell r="A44" t="str">
            <v>Ligorria, Claudia</v>
          </cell>
        </row>
        <row r="45">
          <cell r="A45" t="str">
            <v>Ligorria, Alejandro</v>
          </cell>
        </row>
        <row r="46">
          <cell r="A46" t="str">
            <v>Leyría, Rosario</v>
          </cell>
        </row>
        <row r="47">
          <cell r="A47" t="str">
            <v>Iriarte, Raul</v>
          </cell>
        </row>
        <row r="48">
          <cell r="A48" t="str">
            <v>Heredia, Maria Ines</v>
          </cell>
        </row>
        <row r="49">
          <cell r="A49" t="str">
            <v>Gómes, Celeste</v>
          </cell>
        </row>
        <row r="50">
          <cell r="A50" t="str">
            <v>Fúnes, Evangelina</v>
          </cell>
        </row>
        <row r="51">
          <cell r="A51" t="str">
            <v>Ferreyra, Celsa</v>
          </cell>
        </row>
        <row r="52">
          <cell r="A52" t="str">
            <v>Ferrero, Pablo Ariel</v>
          </cell>
        </row>
        <row r="53">
          <cell r="A53" t="str">
            <v>Escudero, Silvia</v>
          </cell>
        </row>
        <row r="54">
          <cell r="A54" t="str">
            <v>Dominguez, Pedro José</v>
          </cell>
        </row>
        <row r="55">
          <cell r="A55" t="str">
            <v>Ceballos, Miguel Antonio</v>
          </cell>
        </row>
        <row r="56">
          <cell r="A56" t="str">
            <v>Ceballos, Miguel Angel</v>
          </cell>
        </row>
        <row r="57">
          <cell r="A57" t="str">
            <v>Carabias, Gualberto Francisco</v>
          </cell>
        </row>
        <row r="58">
          <cell r="A58" t="str">
            <v>Bustos, Elena</v>
          </cell>
        </row>
        <row r="59">
          <cell r="A59" t="str">
            <v>Bustos Reynoso, Maria Antonella</v>
          </cell>
        </row>
        <row r="60">
          <cell r="A60" t="str">
            <v>Bonfiglio, María Esther</v>
          </cell>
        </row>
        <row r="61">
          <cell r="A61" t="str">
            <v>Bazán, Luis Antonio</v>
          </cell>
        </row>
        <row r="62">
          <cell r="A62" t="str">
            <v>Barroso, Mario Andres</v>
          </cell>
        </row>
        <row r="63">
          <cell r="A63" t="str">
            <v>Avila, Silvia Graciela</v>
          </cell>
        </row>
        <row r="64">
          <cell r="A64" t="str">
            <v>Avaca, Walter Emir</v>
          </cell>
        </row>
        <row r="65">
          <cell r="A65" t="str">
            <v>Astorga, Andrés</v>
          </cell>
        </row>
        <row r="66">
          <cell r="A66" t="str">
            <v>Assis, Victor</v>
          </cell>
        </row>
        <row r="67">
          <cell r="A67" t="str">
            <v>Arguello, Victor Oscar</v>
          </cell>
        </row>
        <row r="68">
          <cell r="A68" t="str">
            <v>Arguello, Rubén Guillermo</v>
          </cell>
        </row>
        <row r="69">
          <cell r="A69" t="str">
            <v>Arguello, Giselle</v>
          </cell>
        </row>
        <row r="70">
          <cell r="A70" t="str">
            <v>Altamirano, Mauricio Gaston</v>
          </cell>
        </row>
        <row r="71">
          <cell r="A71" t="str">
            <v>Altamirano, Daniel</v>
          </cell>
        </row>
        <row r="72">
          <cell r="A72" t="str">
            <v>Aguirre, Claudio Manuel</v>
          </cell>
        </row>
        <row r="73">
          <cell r="A73" t="str">
            <v>Bringas, Exequiel Matias</v>
          </cell>
        </row>
        <row r="74">
          <cell r="A74">
            <v>0</v>
          </cell>
        </row>
        <row r="75">
          <cell r="A75">
            <v>0</v>
          </cell>
        </row>
        <row r="76">
          <cell r="A76">
            <v>0</v>
          </cell>
        </row>
        <row r="77">
          <cell r="A77">
            <v>0</v>
          </cell>
        </row>
        <row r="78">
          <cell r="A78">
            <v>0</v>
          </cell>
        </row>
        <row r="79">
          <cell r="A79">
            <v>0</v>
          </cell>
        </row>
        <row r="80">
          <cell r="A80" t="str">
            <v>PARA ART</v>
          </cell>
        </row>
        <row r="84">
          <cell r="A84" t="str">
            <v>Albornoz, Leonardo</v>
          </cell>
        </row>
        <row r="85">
          <cell r="A85" t="str">
            <v>Andrada, Carlos Enrique</v>
          </cell>
        </row>
        <row r="86">
          <cell r="A86" t="str">
            <v>Baigorria, Mario Humberto</v>
          </cell>
        </row>
        <row r="87">
          <cell r="A87" t="str">
            <v>Barruty, Nancy</v>
          </cell>
        </row>
        <row r="88">
          <cell r="A88" t="str">
            <v>Castro, Mónica Marcela</v>
          </cell>
        </row>
        <row r="89">
          <cell r="A89" t="str">
            <v>Cejas, Mario</v>
          </cell>
        </row>
        <row r="90">
          <cell r="A90" t="str">
            <v xml:space="preserve">Ferrero, Fabian </v>
          </cell>
        </row>
        <row r="91">
          <cell r="A91" t="str">
            <v>Escudero, Marcela</v>
          </cell>
        </row>
        <row r="92">
          <cell r="A92" t="str">
            <v>Fozzatti, Julio Alberto</v>
          </cell>
        </row>
        <row r="93">
          <cell r="A93" t="str">
            <v>Gallardo, Hipólito</v>
          </cell>
        </row>
        <row r="94">
          <cell r="A94" t="str">
            <v>Hualpa, Cesar</v>
          </cell>
        </row>
        <row r="95">
          <cell r="A95" t="str">
            <v>Leyría, Luis Alberto</v>
          </cell>
        </row>
        <row r="96">
          <cell r="A96" t="str">
            <v>Maldonado, Victor Hugo</v>
          </cell>
        </row>
        <row r="97">
          <cell r="A97" t="str">
            <v>Maldonado, Walter</v>
          </cell>
        </row>
        <row r="98">
          <cell r="A98" t="str">
            <v>Miranda, Carlos</v>
          </cell>
        </row>
        <row r="99">
          <cell r="A99" t="str">
            <v>Miranda, María Esther</v>
          </cell>
        </row>
        <row r="100">
          <cell r="A100" t="str">
            <v>Miranda, Carolina</v>
          </cell>
        </row>
        <row r="101">
          <cell r="A101" t="str">
            <v>Olmedo, Victor Daniel</v>
          </cell>
        </row>
        <row r="102">
          <cell r="A102" t="str">
            <v>Ortiz, Flora del Valle</v>
          </cell>
        </row>
        <row r="103">
          <cell r="A103" t="str">
            <v>Ortiz, José Dionisio</v>
          </cell>
        </row>
        <row r="104">
          <cell r="A104" t="str">
            <v>Oviedo, Javier Omar</v>
          </cell>
        </row>
        <row r="105">
          <cell r="A105" t="str">
            <v>Oviedo, Jorge Eduardo</v>
          </cell>
        </row>
        <row r="106">
          <cell r="A106" t="str">
            <v>Pereyra, Jorge Omar</v>
          </cell>
        </row>
        <row r="107">
          <cell r="A107" t="str">
            <v>Rébora, Enrique Rodolfo</v>
          </cell>
        </row>
        <row r="108">
          <cell r="A108" t="str">
            <v>Rivero, Julio Cesar</v>
          </cell>
        </row>
        <row r="109">
          <cell r="A109" t="str">
            <v>Roveres, Martín</v>
          </cell>
        </row>
        <row r="110">
          <cell r="A110" t="str">
            <v>Salgado, Carlos Alberto</v>
          </cell>
        </row>
        <row r="111">
          <cell r="A111" t="str">
            <v>Sosa, Angel Eduardo</v>
          </cell>
        </row>
        <row r="112">
          <cell r="A112" t="str">
            <v>Sosa, Noel Armando</v>
          </cell>
        </row>
        <row r="113">
          <cell r="A113" t="str">
            <v>Vallejo, Carlos Rufino</v>
          </cell>
        </row>
        <row r="114">
          <cell r="A114" t="str">
            <v>Yriarte, Marisa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 t="str">
            <v>Olmedo, Raul Alberto</v>
          </cell>
        </row>
        <row r="118">
          <cell r="A118" t="str">
            <v>Fozzatti, Julio Alberto</v>
          </cell>
        </row>
        <row r="119">
          <cell r="A119" t="str">
            <v>Bazán, Fabio</v>
          </cell>
        </row>
        <row r="120">
          <cell r="A120" t="str">
            <v>Olmos, Angélica</v>
          </cell>
        </row>
        <row r="121">
          <cell r="A121" t="str">
            <v>Altamirano, Viviana</v>
          </cell>
        </row>
        <row r="122">
          <cell r="A122" t="str">
            <v>Avaca, Elsa Rosa</v>
          </cell>
        </row>
        <row r="123">
          <cell r="A123" t="str">
            <v>Lopez, Maria Fernanda</v>
          </cell>
        </row>
        <row r="124">
          <cell r="A124" t="str">
            <v>Reymundo, Rodolfo Rogelio</v>
          </cell>
        </row>
        <row r="125">
          <cell r="A125" t="str">
            <v>Arrascaeta, Raul Abel</v>
          </cell>
        </row>
        <row r="126">
          <cell r="A126" t="str">
            <v>Cruz, Judith</v>
          </cell>
        </row>
      </sheetData>
      <sheetData sheetId="3"/>
      <sheetData sheetId="4"/>
      <sheetData sheetId="5"/>
      <sheetData sheetId="6"/>
      <sheetData sheetId="7">
        <row r="93">
          <cell r="A93" t="str">
            <v>Olmedo, Raul Alberto</v>
          </cell>
        </row>
        <row r="94">
          <cell r="A94" t="str">
            <v>Oliva, Guillermo</v>
          </cell>
        </row>
        <row r="95">
          <cell r="A95" t="str">
            <v>Oliva, Guillermo</v>
          </cell>
        </row>
        <row r="96">
          <cell r="A96" t="str">
            <v>Muñoz, Susana Raquel</v>
          </cell>
        </row>
        <row r="97">
          <cell r="A97" t="str">
            <v>Montenegro, Luciana</v>
          </cell>
        </row>
        <row r="98">
          <cell r="A98" t="str">
            <v>Molina, Aldo</v>
          </cell>
        </row>
        <row r="99">
          <cell r="A99" t="str">
            <v>Miranda, Carolina</v>
          </cell>
        </row>
        <row r="100">
          <cell r="A100" t="str">
            <v>Miranda, Carolina</v>
          </cell>
        </row>
        <row r="101">
          <cell r="A101" t="str">
            <v>Miranda, Carolina</v>
          </cell>
        </row>
        <row r="102">
          <cell r="A102" t="str">
            <v>Manzone, Adrian Marcelo</v>
          </cell>
        </row>
        <row r="103">
          <cell r="A103" t="str">
            <v>Mancera, Maximiliano</v>
          </cell>
        </row>
        <row r="104">
          <cell r="A104" t="str">
            <v>Maldonado, Walter</v>
          </cell>
        </row>
        <row r="105">
          <cell r="A105" t="str">
            <v>Maldonado, Victor Hugo</v>
          </cell>
        </row>
        <row r="106">
          <cell r="A106" t="str">
            <v>Maldonado, Victor Hugo</v>
          </cell>
        </row>
        <row r="107">
          <cell r="A107" t="str">
            <v>Leyría, Luis Alberto</v>
          </cell>
        </row>
        <row r="108">
          <cell r="A108" t="str">
            <v>Leyría, Luis Alberto</v>
          </cell>
        </row>
        <row r="109">
          <cell r="A109" t="str">
            <v>Hualpa, Cesar</v>
          </cell>
        </row>
        <row r="110">
          <cell r="A110" t="str">
            <v>Heredia, Maria Ines</v>
          </cell>
        </row>
        <row r="111">
          <cell r="A111" t="str">
            <v>Fúnes, Evangelina</v>
          </cell>
        </row>
        <row r="112">
          <cell r="A112" t="str">
            <v>Fúnes, Evangelina</v>
          </cell>
        </row>
        <row r="113">
          <cell r="A113" t="str">
            <v>Fúnes, Evangelina</v>
          </cell>
        </row>
        <row r="114">
          <cell r="A114" t="str">
            <v>Fúnes, Evangelina</v>
          </cell>
        </row>
        <row r="115">
          <cell r="A115" t="str">
            <v>Fúnes, Evangelina</v>
          </cell>
        </row>
        <row r="116">
          <cell r="A116" t="str">
            <v>Ferreyra, Celsa</v>
          </cell>
        </row>
        <row r="117">
          <cell r="A117" t="str">
            <v xml:space="preserve">Ferrero, Fabian </v>
          </cell>
        </row>
        <row r="118">
          <cell r="A118" t="str">
            <v xml:space="preserve">Ferrero, Fabian </v>
          </cell>
        </row>
        <row r="119">
          <cell r="A119" t="str">
            <v xml:space="preserve">Ferrero, Fabian </v>
          </cell>
        </row>
        <row r="120">
          <cell r="A120" t="str">
            <v xml:space="preserve">Ferrero, Fabian </v>
          </cell>
        </row>
        <row r="121">
          <cell r="A121" t="str">
            <v xml:space="preserve">Ferrero, Fabian </v>
          </cell>
        </row>
        <row r="122">
          <cell r="A122" t="str">
            <v xml:space="preserve">Ferrero, Fabian </v>
          </cell>
        </row>
        <row r="123">
          <cell r="A123" t="str">
            <v xml:space="preserve">Ferrero, Fabian </v>
          </cell>
        </row>
        <row r="124">
          <cell r="A124" t="str">
            <v xml:space="preserve">Ferrero, Fabian </v>
          </cell>
        </row>
        <row r="125">
          <cell r="A125" t="str">
            <v>Escudero, Silvia</v>
          </cell>
        </row>
        <row r="126">
          <cell r="A126" t="str">
            <v>Escudero, Marcela</v>
          </cell>
        </row>
        <row r="127">
          <cell r="A127" t="str">
            <v>Escudero, Marcela</v>
          </cell>
        </row>
        <row r="128">
          <cell r="A128" t="str">
            <v>Ceballos, Miguel Antonio</v>
          </cell>
        </row>
        <row r="129">
          <cell r="A129" t="str">
            <v>Ceballos, Miguel Antonio</v>
          </cell>
        </row>
        <row r="130">
          <cell r="A130" t="str">
            <v>Ceballos, Miguel Antonio</v>
          </cell>
        </row>
        <row r="131">
          <cell r="A131" t="str">
            <v>Bustos Reynoso, Maria Antonella</v>
          </cell>
        </row>
        <row r="132">
          <cell r="A132" t="str">
            <v>Bustos Reynoso, Maria Antonella</v>
          </cell>
        </row>
        <row r="133">
          <cell r="A133" t="str">
            <v>Bazán, Fabio</v>
          </cell>
        </row>
        <row r="134">
          <cell r="A134" t="str">
            <v>Bazán, Fabio</v>
          </cell>
        </row>
        <row r="135">
          <cell r="A135" t="str">
            <v>Barroso, Mario Andres</v>
          </cell>
        </row>
        <row r="136">
          <cell r="A136" t="str">
            <v>Barroso, Mario Andres</v>
          </cell>
        </row>
        <row r="137">
          <cell r="A137" t="str">
            <v>Barroso, Mario Andres</v>
          </cell>
        </row>
        <row r="138">
          <cell r="A138" t="str">
            <v>Baigorria, Mario Humberto</v>
          </cell>
        </row>
        <row r="139">
          <cell r="A139" t="str">
            <v>Baigorria, Mario Humberto</v>
          </cell>
        </row>
        <row r="140">
          <cell r="A140" t="str">
            <v>Astorga, Andrés</v>
          </cell>
        </row>
        <row r="141">
          <cell r="A141" t="str">
            <v>Arguello, Victor Oscar</v>
          </cell>
        </row>
        <row r="142">
          <cell r="A142" t="str">
            <v>Arguello, Giselle</v>
          </cell>
        </row>
        <row r="143">
          <cell r="A143" t="str">
            <v>Andrada, Carlos Enrique</v>
          </cell>
        </row>
        <row r="144">
          <cell r="A144" t="str">
            <v>Altamirano, Mauricio Gaston</v>
          </cell>
        </row>
        <row r="145">
          <cell r="A145" t="str">
            <v>Albornoz, Leonardo</v>
          </cell>
        </row>
        <row r="146">
          <cell r="A146" t="str">
            <v>Albornoz, Leonardo</v>
          </cell>
        </row>
        <row r="147">
          <cell r="A147" t="str">
            <v>Albornoz, Leonardo</v>
          </cell>
        </row>
        <row r="148">
          <cell r="A148" t="str">
            <v>Albornoz, Leonardo</v>
          </cell>
        </row>
        <row r="149">
          <cell r="A149" t="str">
            <v>Albornoz, Leonardo</v>
          </cell>
        </row>
        <row r="150">
          <cell r="A150" t="str">
            <v>Albornoz, Leonardo</v>
          </cell>
        </row>
        <row r="151">
          <cell r="A151" t="str">
            <v>Albornoz, Leonardo</v>
          </cell>
        </row>
        <row r="152">
          <cell r="A152" t="str">
            <v>Aguirre, Claudio Manuel</v>
          </cell>
        </row>
        <row r="153">
          <cell r="A153">
            <v>0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>
            <v>0</v>
          </cell>
        </row>
        <row r="169">
          <cell r="A169">
            <v>0</v>
          </cell>
        </row>
        <row r="170">
          <cell r="A170">
            <v>0</v>
          </cell>
        </row>
        <row r="171">
          <cell r="A171">
            <v>0</v>
          </cell>
        </row>
        <row r="172">
          <cell r="A172">
            <v>0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5"/>
  <dimension ref="B1:BH149"/>
  <sheetViews>
    <sheetView topLeftCell="A49" zoomScale="151" zoomScaleNormal="151" workbookViewId="0">
      <selection activeCell="O66" sqref="O66"/>
    </sheetView>
  </sheetViews>
  <sheetFormatPr baseColWidth="10" defaultColWidth="2.44140625" defaultRowHeight="12.75" customHeight="1"/>
  <cols>
    <col min="1" max="18" width="2.44140625" style="42" customWidth="1"/>
    <col min="19" max="19" width="2.44140625" style="2" customWidth="1"/>
    <col min="20" max="27" width="2.44140625" style="42" customWidth="1"/>
    <col min="28" max="28" width="2.109375" style="42" customWidth="1"/>
    <col min="29" max="49" width="2.44140625" style="42"/>
    <col min="50" max="50" width="5.109375" style="42" bestFit="1" customWidth="1"/>
    <col min="51" max="16384" width="2.44140625" style="42"/>
  </cols>
  <sheetData>
    <row r="1" spans="2:35" ht="12.75" customHeight="1">
      <c r="B1" s="87" t="s">
        <v>563</v>
      </c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</row>
    <row r="2" spans="2:35" ht="12.75" customHeight="1" thickBot="1"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</row>
    <row r="3" spans="2:35" ht="12.75" customHeight="1" thickTop="1"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</row>
    <row r="4" spans="2:35" ht="12.75" customHeight="1">
      <c r="B4" s="77" t="s">
        <v>122</v>
      </c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</row>
    <row r="5" spans="2:35" ht="7.5" customHeight="1"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</row>
    <row r="6" spans="2:35" ht="12.75" customHeight="1">
      <c r="B6" s="91">
        <f ca="1">INDIRECT("Hoja3!L" &amp; I66)</f>
        <v>42464</v>
      </c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77" t="s">
        <v>131</v>
      </c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</row>
    <row r="7" spans="2:35" s="44" customFormat="1" ht="7.5" customHeight="1"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</row>
    <row r="8" spans="2:35" ht="12.75" customHeight="1">
      <c r="B8" s="77" t="s">
        <v>130</v>
      </c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</row>
    <row r="9" spans="2:35" s="44" customFormat="1" ht="7.5" customHeight="1"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</row>
    <row r="10" spans="2:35" ht="12.75" customHeight="1">
      <c r="B10" s="86" t="s">
        <v>524</v>
      </c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1" t="s">
        <v>124</v>
      </c>
      <c r="O10" s="81"/>
      <c r="P10" s="81"/>
      <c r="Q10" s="80" t="s">
        <v>525</v>
      </c>
      <c r="R10" s="80"/>
      <c r="S10" s="80"/>
      <c r="T10" s="80"/>
      <c r="U10" s="80"/>
      <c r="V10" s="77" t="s">
        <v>526</v>
      </c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</row>
    <row r="11" spans="2:35" s="44" customFormat="1" ht="7.5" customHeight="1"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</row>
    <row r="12" spans="2:35" ht="12.75" customHeight="1">
      <c r="B12" s="86" t="s">
        <v>123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1" t="s">
        <v>124</v>
      </c>
      <c r="O12" s="81"/>
      <c r="P12" s="81"/>
      <c r="Q12" s="80" t="s">
        <v>125</v>
      </c>
      <c r="R12" s="80"/>
      <c r="S12" s="80"/>
      <c r="T12" s="80"/>
      <c r="U12" s="80"/>
      <c r="V12" s="77" t="s">
        <v>126</v>
      </c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3"/>
    </row>
    <row r="13" spans="2:35" s="44" customFormat="1" ht="7.5" customHeight="1"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</row>
    <row r="14" spans="2:35" ht="12.75" customHeight="1">
      <c r="B14" s="77" t="s">
        <v>127</v>
      </c>
      <c r="C14" s="77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85" t="s">
        <v>439</v>
      </c>
      <c r="R14" s="85"/>
      <c r="S14" s="85"/>
      <c r="T14" s="86" t="str">
        <f ca="1">INDIRECT("Hoja3!A" &amp; I66)</f>
        <v>Ortega, Gustavo Alejandro</v>
      </c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3"/>
    </row>
    <row r="15" spans="2:35" s="44" customFormat="1" ht="7.5" customHeight="1"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</row>
    <row r="16" spans="2:35" ht="12.75" customHeight="1">
      <c r="B16" s="81" t="s">
        <v>124</v>
      </c>
      <c r="C16" s="81"/>
      <c r="D16" s="81"/>
      <c r="E16" s="82">
        <f ca="1">INDIRECT("Hoja3!B" &amp; I66)</f>
        <v>25105459</v>
      </c>
      <c r="F16" s="80"/>
      <c r="G16" s="80"/>
      <c r="H16" s="80"/>
      <c r="I16" s="80"/>
      <c r="J16" s="77" t="s">
        <v>128</v>
      </c>
      <c r="K16" s="77"/>
      <c r="L16" s="77"/>
      <c r="M16" s="77"/>
      <c r="N16" s="77"/>
      <c r="O16" s="77"/>
      <c r="P16" s="77"/>
      <c r="Q16" s="77"/>
      <c r="R16" s="84" t="str">
        <f ca="1">INDIRECT("Hoja3!G" &amp; I66)</f>
        <v>Intihuan</v>
      </c>
      <c r="S16" s="84"/>
      <c r="T16" s="84"/>
      <c r="U16" s="84"/>
      <c r="V16" s="84"/>
      <c r="W16" s="84"/>
      <c r="X16" s="84"/>
      <c r="Y16" s="84"/>
      <c r="Z16" s="83" t="str">
        <f ca="1">INDIRECT("Hoja3!H" &amp; I66)</f>
        <v>s/n</v>
      </c>
      <c r="AA16" s="83"/>
      <c r="AB16" s="77" t="s">
        <v>129</v>
      </c>
      <c r="AC16" s="77"/>
      <c r="AD16" s="77"/>
      <c r="AE16" s="77"/>
      <c r="AF16" s="77"/>
      <c r="AG16" s="77"/>
      <c r="AH16" s="77"/>
      <c r="AI16" s="3"/>
    </row>
    <row r="17" spans="2:35" s="44" customFormat="1" ht="7.5" customHeight="1"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</row>
    <row r="18" spans="2:35" ht="12.75" customHeight="1">
      <c r="B18" s="84" t="str">
        <f ca="1">INDIRECT("Hoja3!I" &amp; I66)</f>
        <v>Villa de las Rosas</v>
      </c>
      <c r="C18" s="84"/>
      <c r="D18" s="84"/>
      <c r="E18" s="84"/>
      <c r="F18" s="84"/>
      <c r="G18" s="84"/>
      <c r="H18" s="84"/>
      <c r="I18" s="84"/>
      <c r="J18" s="89" t="s">
        <v>149</v>
      </c>
      <c r="K18" s="89"/>
      <c r="L18" s="89"/>
      <c r="M18" s="89"/>
      <c r="N18" s="89"/>
      <c r="O18" s="89"/>
      <c r="P18" s="90" t="str">
        <f ca="1">INDIRECT("Hoja3!J" &amp; I66)</f>
        <v>CORDOBA</v>
      </c>
      <c r="Q18" s="90"/>
      <c r="R18" s="90"/>
      <c r="S18" s="90"/>
      <c r="T18" s="90"/>
      <c r="U18" s="90"/>
      <c r="V18" s="90"/>
      <c r="W18" s="89" t="s">
        <v>150</v>
      </c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3"/>
    </row>
    <row r="19" spans="2:35" s="44" customFormat="1" ht="7.5" customHeight="1"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</row>
    <row r="20" spans="2:35" ht="12.75" customHeight="1">
      <c r="B20" s="79" t="s">
        <v>527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3"/>
    </row>
    <row r="21" spans="2:35" s="44" customFormat="1" ht="7.5" customHeight="1"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</row>
    <row r="22" spans="2:35" ht="12.75" customHeight="1">
      <c r="B22" s="77" t="s">
        <v>133</v>
      </c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3"/>
    </row>
    <row r="23" spans="2:35" s="44" customFormat="1" ht="7.5" customHeight="1"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</row>
    <row r="24" spans="2:35" ht="12.75" customHeight="1">
      <c r="B24" s="78" t="str">
        <f ca="1">T14</f>
        <v>Ortega, Gustavo Alejandro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7" t="s">
        <v>132</v>
      </c>
      <c r="R24" s="77"/>
      <c r="S24" s="77"/>
      <c r="T24" s="77"/>
      <c r="U24" s="77"/>
      <c r="V24" s="77"/>
      <c r="W24" s="77"/>
      <c r="X24" s="77"/>
      <c r="Y24" s="77"/>
      <c r="Z24" s="77"/>
      <c r="AA24" s="46"/>
      <c r="AB24" s="46"/>
      <c r="AC24" s="46"/>
      <c r="AD24" s="46"/>
      <c r="AE24" s="46"/>
      <c r="AF24" s="46"/>
      <c r="AG24" s="46"/>
      <c r="AH24" s="46"/>
      <c r="AI24" s="3"/>
    </row>
    <row r="25" spans="2:35" s="44" customFormat="1" ht="7.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</row>
    <row r="26" spans="2:35" ht="12.75" customHeight="1">
      <c r="B26" s="79" t="str">
        <f ca="1">INDIRECT("Hoja3!D" &amp; I66)</f>
        <v>para la construcción de 38 mts. lineales de cimiento a $140 el mt. lineal y 38mts2 de muro de --------</v>
      </c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3"/>
    </row>
    <row r="27" spans="2:35" s="44" customFormat="1" ht="7.5" customHeight="1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</row>
    <row r="28" spans="2:35" ht="12.75" customHeight="1">
      <c r="B28" s="79" t="str">
        <f ca="1">INDIRECT("Hoja3!E" &amp; I66)</f>
        <v>piedra vista a $500 el mt2,en 3 canteros en la Plaza San Martín-------------------------------------------------</v>
      </c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3"/>
    </row>
    <row r="29" spans="2:35" s="44" customFormat="1" ht="7.5" customHeight="1"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</row>
    <row r="30" spans="2:35" ht="12.75" customHeight="1">
      <c r="B30" s="79" t="str">
        <f ca="1">INDIRECT("Hoja3!F" &amp; I66)</f>
        <v>----------------------------------------------------------------------------------------------------------------------------</v>
      </c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3"/>
    </row>
    <row r="31" spans="2:35" s="44" customFormat="1" ht="7.5" customHeight="1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</row>
    <row r="32" spans="2:35" ht="12.75" customHeight="1">
      <c r="B32" s="79" t="s">
        <v>528</v>
      </c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92">
        <f ca="1">INDIRECT("Hoja3!C" &amp; I66)</f>
        <v>24320</v>
      </c>
      <c r="AF32" s="92"/>
      <c r="AG32" s="92"/>
      <c r="AH32" s="92"/>
      <c r="AI32" s="92"/>
    </row>
    <row r="33" spans="2:60" s="44" customFormat="1" ht="7.5" customHeight="1"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66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</row>
    <row r="34" spans="2:60" ht="12.75" customHeight="1">
      <c r="B34" s="52" t="s">
        <v>154</v>
      </c>
      <c r="C34" s="93" t="str">
        <f ca="1">CONVERTIRNUM(AE32,TRUE)</f>
        <v>Veinticuatro Mil Trescientos Veinte Pesos Con Cero Centavos</v>
      </c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62" t="s">
        <v>155</v>
      </c>
      <c r="AA34" s="89" t="s">
        <v>561</v>
      </c>
      <c r="AB34" s="89"/>
      <c r="AC34" s="89"/>
      <c r="AD34" s="89"/>
      <c r="AE34" s="89"/>
      <c r="AF34" s="89"/>
      <c r="AG34" s="89"/>
      <c r="AH34" s="89"/>
      <c r="AI34" s="89"/>
      <c r="AJ34" s="65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5"/>
      <c r="AV34" s="65"/>
      <c r="AW34" s="65"/>
      <c r="AX34" s="65"/>
      <c r="AY34" s="65"/>
      <c r="AZ34" s="65"/>
      <c r="BA34" s="65"/>
      <c r="BB34" s="65"/>
      <c r="BC34" s="65"/>
      <c r="BD34" s="65"/>
      <c r="BE34" s="65"/>
      <c r="BF34" s="65"/>
      <c r="BG34" s="65"/>
      <c r="BH34" s="65"/>
    </row>
    <row r="35" spans="2:60" s="44" customFormat="1" ht="12.75" customHeight="1">
      <c r="B35" s="79" t="s">
        <v>562</v>
      </c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</row>
    <row r="36" spans="2:60" s="44" customFormat="1" ht="7.5" customHeight="1"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</row>
    <row r="37" spans="2:60" s="54" customFormat="1" ht="12.75" customHeight="1">
      <c r="B37" s="79" t="s">
        <v>156</v>
      </c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53"/>
    </row>
    <row r="38" spans="2:60" s="44" customFormat="1" ht="7.5" customHeight="1"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</row>
    <row r="39" spans="2:60" ht="12.75" customHeight="1">
      <c r="B39" s="79" t="s">
        <v>157</v>
      </c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3"/>
    </row>
    <row r="40" spans="2:60" s="44" customFormat="1" ht="7.5" customHeight="1"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</row>
    <row r="41" spans="2:60" ht="12.75" customHeight="1">
      <c r="B41" s="79" t="s">
        <v>158</v>
      </c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3"/>
    </row>
    <row r="42" spans="2:60" s="44" customFormat="1" ht="7.5" customHeight="1"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</row>
    <row r="43" spans="2:60" ht="12.75" customHeight="1">
      <c r="B43" s="79" t="s">
        <v>159</v>
      </c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79"/>
      <c r="AI43" s="3"/>
    </row>
    <row r="44" spans="2:60" s="44" customFormat="1" ht="7.5" customHeight="1"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</row>
    <row r="45" spans="2:60" ht="12.75" customHeight="1">
      <c r="B45" s="79" t="s">
        <v>529</v>
      </c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3"/>
    </row>
    <row r="46" spans="2:60" s="44" customFormat="1" ht="7.5" customHeight="1"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</row>
    <row r="47" spans="2:60" ht="12.75" customHeight="1">
      <c r="B47" s="79" t="s">
        <v>530</v>
      </c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3"/>
    </row>
    <row r="48" spans="2:60" s="44" customFormat="1" ht="7.5" customHeight="1"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</row>
    <row r="49" spans="2:35" s="44" customFormat="1" ht="7.5" customHeight="1"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</row>
    <row r="50" spans="2:35" ht="12.75" customHeight="1">
      <c r="B50" s="89" t="s">
        <v>536</v>
      </c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97" t="str">
        <f ca="1">INDIRECT("Hoja3!K" &amp; I66) &amp; " días"</f>
        <v>15 días</v>
      </c>
      <c r="AC50" s="97"/>
      <c r="AD50" s="97"/>
      <c r="AE50" s="97"/>
      <c r="AF50" s="97"/>
      <c r="AG50" s="63"/>
      <c r="AH50" s="63"/>
      <c r="AI50" s="3"/>
    </row>
    <row r="51" spans="2:35" s="44" customFormat="1" ht="12.75" customHeight="1">
      <c r="B51" s="81" t="s">
        <v>540</v>
      </c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</row>
    <row r="52" spans="2:35" s="44" customFormat="1" ht="7.5" customHeight="1">
      <c r="B52" s="45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</row>
    <row r="53" spans="2:35" ht="12.75" customHeight="1">
      <c r="B53" s="96" t="s">
        <v>161</v>
      </c>
      <c r="C53" s="96"/>
      <c r="D53" s="96"/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96"/>
      <c r="AE53" s="96"/>
      <c r="AF53" s="96"/>
      <c r="AG53" s="96"/>
      <c r="AH53" s="96"/>
      <c r="AI53" s="3"/>
    </row>
    <row r="54" spans="2:35" s="44" customFormat="1" ht="7.5" customHeight="1"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</row>
    <row r="55" spans="2:35" ht="12.75" customHeight="1">
      <c r="B55" s="96" t="s">
        <v>531</v>
      </c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  <c r="Y55" s="96"/>
      <c r="Z55" s="96"/>
      <c r="AA55" s="96"/>
      <c r="AB55" s="96"/>
      <c r="AC55" s="96"/>
      <c r="AD55" s="96"/>
      <c r="AE55" s="96"/>
      <c r="AF55" s="96"/>
      <c r="AG55" s="96"/>
      <c r="AH55" s="96"/>
      <c r="AI55" s="3"/>
    </row>
    <row r="56" spans="2:35" s="44" customFormat="1" ht="7.5" customHeight="1"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</row>
    <row r="57" spans="2:35" ht="12.75" customHeight="1">
      <c r="B57" s="96" t="s">
        <v>532</v>
      </c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96"/>
      <c r="W57" s="96"/>
      <c r="X57" s="96"/>
      <c r="Y57" s="96"/>
      <c r="Z57" s="96"/>
      <c r="AA57" s="96"/>
      <c r="AB57" s="96"/>
      <c r="AC57" s="96"/>
      <c r="AD57" s="96"/>
      <c r="AE57" s="96"/>
      <c r="AF57" s="96"/>
      <c r="AG57" s="96"/>
      <c r="AH57" s="96"/>
      <c r="AI57" s="3"/>
    </row>
    <row r="58" spans="2:35" s="44" customFormat="1" ht="7.5" customHeight="1"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</row>
    <row r="59" spans="2:35" ht="12.75" customHeight="1">
      <c r="B59" s="96" t="s">
        <v>533</v>
      </c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3"/>
    </row>
    <row r="60" spans="2:35" s="44" customFormat="1" ht="7.5" customHeight="1"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</row>
    <row r="61" spans="2:35" ht="12.75" customHeight="1">
      <c r="B61" s="96" t="s">
        <v>534</v>
      </c>
      <c r="C61" s="96"/>
      <c r="D61" s="96"/>
      <c r="E61" s="96"/>
      <c r="F61" s="96"/>
      <c r="G61" s="96"/>
      <c r="H61" s="96"/>
      <c r="I61" s="96"/>
      <c r="J61" s="96"/>
      <c r="K61" s="96"/>
      <c r="L61" s="96"/>
      <c r="M61" s="96"/>
      <c r="N61" s="96"/>
      <c r="O61" s="96"/>
      <c r="P61" s="96"/>
      <c r="Q61" s="96"/>
      <c r="R61" s="96"/>
      <c r="S61" s="96"/>
      <c r="T61" s="96"/>
      <c r="U61" s="96"/>
      <c r="V61" s="96"/>
      <c r="W61" s="96"/>
      <c r="X61" s="96"/>
      <c r="Y61" s="96"/>
      <c r="Z61" s="96"/>
      <c r="AA61" s="96"/>
      <c r="AB61" s="96"/>
      <c r="AC61" s="96"/>
      <c r="AD61" s="96"/>
      <c r="AE61" s="96"/>
      <c r="AF61" s="96"/>
      <c r="AG61" s="96"/>
      <c r="AH61" s="96"/>
      <c r="AI61" s="3"/>
    </row>
    <row r="62" spans="2:35" ht="7.5" customHeight="1">
      <c r="Q62" s="4"/>
      <c r="R62" s="6"/>
      <c r="S62" s="5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3"/>
    </row>
    <row r="63" spans="2:35" ht="12.75" customHeight="1">
      <c r="B63" s="96" t="s">
        <v>535</v>
      </c>
      <c r="C63" s="96"/>
      <c r="D63" s="96"/>
      <c r="E63" s="96"/>
      <c r="F63" s="96"/>
      <c r="G63" s="96"/>
      <c r="H63" s="96"/>
      <c r="I63" s="96"/>
      <c r="J63" s="96"/>
      <c r="K63" s="96"/>
      <c r="L63" s="96"/>
      <c r="M63" s="96"/>
      <c r="N63" s="96"/>
      <c r="O63" s="96"/>
      <c r="P63" s="96"/>
      <c r="Q63" s="96"/>
      <c r="R63" s="96"/>
      <c r="S63" s="96"/>
      <c r="T63" s="96"/>
      <c r="U63" s="96"/>
      <c r="V63" s="96"/>
      <c r="W63" s="96"/>
      <c r="X63" s="96"/>
      <c r="Y63" s="96"/>
      <c r="Z63" s="96"/>
      <c r="AA63" s="96"/>
      <c r="AB63" s="96"/>
      <c r="AC63" s="96"/>
      <c r="AD63" s="96"/>
      <c r="AE63" s="96"/>
      <c r="AF63" s="96"/>
      <c r="AG63" s="96"/>
      <c r="AH63" s="96"/>
    </row>
    <row r="64" spans="2:35" s="44" customFormat="1" ht="7.5" customHeight="1"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</row>
    <row r="65" spans="2:35" ht="12.75" customHeight="1"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3"/>
    </row>
    <row r="66" spans="2:35" ht="12.75" customHeight="1">
      <c r="B66" s="94" t="s">
        <v>602</v>
      </c>
      <c r="C66" s="94"/>
      <c r="D66" s="94"/>
      <c r="E66" s="94"/>
      <c r="F66" s="94"/>
      <c r="G66" s="94"/>
      <c r="H66" s="94"/>
      <c r="I66" s="95">
        <v>216</v>
      </c>
      <c r="J66" s="95"/>
      <c r="K66" s="95"/>
      <c r="L66" s="45"/>
      <c r="M66" s="45"/>
      <c r="N66" s="45"/>
      <c r="O66" s="45"/>
      <c r="P66" s="45"/>
      <c r="Q66" s="45"/>
      <c r="R66" s="45"/>
      <c r="S66" s="45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3"/>
    </row>
    <row r="67" spans="2:35" s="45" customFormat="1" ht="12.75" customHeight="1"/>
    <row r="68" spans="2:35" s="45" customFormat="1" ht="12.75" customHeight="1"/>
    <row r="69" spans="2:35" s="45" customFormat="1" ht="12.75" customHeight="1"/>
    <row r="70" spans="2:35" s="45" customFormat="1" ht="12.75" customHeight="1"/>
    <row r="71" spans="2:35" s="45" customFormat="1" ht="12.75" customHeight="1"/>
    <row r="72" spans="2:35" s="45" customFormat="1" ht="12.75" customHeight="1"/>
    <row r="73" spans="2:35" s="45" customFormat="1" ht="12.75" customHeight="1"/>
    <row r="74" spans="2:35" s="45" customFormat="1" ht="12.75" customHeight="1"/>
    <row r="75" spans="2:35" s="45" customFormat="1" ht="12.75" customHeight="1"/>
    <row r="76" spans="2:35" s="45" customFormat="1" ht="12.75" customHeight="1"/>
    <row r="77" spans="2:35" s="45" customFormat="1" ht="12.75" customHeight="1"/>
    <row r="78" spans="2:35" s="45" customFormat="1" ht="12.75" customHeight="1"/>
    <row r="79" spans="2:35" s="45" customFormat="1" ht="12.75" customHeight="1"/>
    <row r="80" spans="2:35" s="45" customFormat="1" ht="12.75" customHeight="1"/>
    <row r="81" s="45" customFormat="1" ht="12.75" customHeight="1"/>
    <row r="82" s="45" customFormat="1" ht="12.75" customHeight="1"/>
    <row r="83" s="45" customFormat="1" ht="12.75" customHeight="1"/>
    <row r="84" s="45" customFormat="1" ht="12.75" customHeight="1"/>
    <row r="85" s="45" customFormat="1" ht="12.75" customHeight="1"/>
    <row r="86" s="45" customFormat="1" ht="12.75" customHeight="1"/>
    <row r="87" s="45" customFormat="1" ht="12.75" customHeight="1"/>
    <row r="88" s="45" customFormat="1" ht="12.75" customHeight="1"/>
    <row r="89" s="45" customFormat="1" ht="12.75" customHeight="1"/>
    <row r="90" s="45" customFormat="1" ht="12.75" customHeight="1"/>
    <row r="91" s="45" customFormat="1" ht="12.75" customHeight="1"/>
    <row r="92" s="45" customFormat="1" ht="12.75" customHeight="1"/>
    <row r="93" s="45" customFormat="1" ht="12.75" customHeight="1"/>
    <row r="94" s="45" customFormat="1" ht="12.75" customHeight="1"/>
    <row r="95" s="45" customFormat="1" ht="12.75" customHeight="1"/>
    <row r="96" s="45" customFormat="1" ht="12.75" customHeight="1"/>
    <row r="97" s="45" customFormat="1" ht="12.75" customHeight="1"/>
    <row r="98" s="45" customFormat="1" ht="12.75" customHeight="1"/>
    <row r="99" s="45" customFormat="1" ht="12.75" customHeight="1"/>
    <row r="100" s="45" customFormat="1" ht="12.75" customHeight="1"/>
    <row r="101" s="45" customFormat="1" ht="12.75" customHeight="1"/>
    <row r="102" s="45" customFormat="1" ht="12.75" customHeight="1"/>
    <row r="103" s="45" customFormat="1" ht="12.75" customHeight="1"/>
    <row r="104" s="45" customFormat="1" ht="12.75" customHeight="1"/>
    <row r="105" s="45" customFormat="1" ht="12.75" customHeight="1"/>
    <row r="106" s="45" customFormat="1" ht="12.75" customHeight="1"/>
    <row r="107" s="45" customFormat="1" ht="12.75" customHeight="1"/>
    <row r="108" s="45" customFormat="1" ht="12.75" customHeight="1"/>
    <row r="109" s="45" customFormat="1" ht="12.75" customHeight="1"/>
    <row r="110" s="45" customFormat="1" ht="12.75" customHeight="1"/>
    <row r="111" s="45" customFormat="1" ht="12.75" customHeight="1"/>
    <row r="112" s="45" customFormat="1" ht="12.75" customHeight="1"/>
    <row r="113" s="45" customFormat="1" ht="12.75" customHeight="1"/>
    <row r="114" s="45" customFormat="1" ht="12.75" customHeight="1"/>
    <row r="115" s="45" customFormat="1" ht="12.75" customHeight="1"/>
    <row r="116" s="45" customFormat="1" ht="12.75" customHeight="1"/>
    <row r="117" s="45" customFormat="1" ht="12.75" customHeight="1"/>
    <row r="118" s="45" customFormat="1" ht="12.75" customHeight="1"/>
    <row r="119" s="45" customFormat="1" ht="12.75" customHeight="1"/>
    <row r="120" s="45" customFormat="1" ht="12.75" customHeight="1"/>
    <row r="121" s="45" customFormat="1" ht="12.75" customHeight="1"/>
    <row r="122" s="45" customFormat="1" ht="12.75" customHeight="1"/>
    <row r="123" s="45" customFormat="1" ht="12.75" customHeight="1"/>
    <row r="124" s="45" customFormat="1" ht="12.75" customHeight="1"/>
    <row r="125" s="45" customFormat="1" ht="12.75" customHeight="1"/>
    <row r="126" s="45" customFormat="1" ht="12.75" customHeight="1"/>
    <row r="127" s="45" customFormat="1" ht="12.75" customHeight="1"/>
    <row r="128" s="45" customFormat="1" ht="12.75" customHeight="1"/>
    <row r="129" s="45" customFormat="1" ht="12.75" customHeight="1"/>
    <row r="149" spans="5:5" ht="12.75" customHeight="1">
      <c r="E149" s="7"/>
    </row>
  </sheetData>
  <mergeCells count="55">
    <mergeCell ref="B66:H66"/>
    <mergeCell ref="I66:K66"/>
    <mergeCell ref="AA34:AI34"/>
    <mergeCell ref="B57:AH57"/>
    <mergeCell ref="B59:AH59"/>
    <mergeCell ref="B61:AH61"/>
    <mergeCell ref="B63:AH63"/>
    <mergeCell ref="B35:AI35"/>
    <mergeCell ref="B47:AH47"/>
    <mergeCell ref="B53:AH53"/>
    <mergeCell ref="B55:AH55"/>
    <mergeCell ref="B50:AA50"/>
    <mergeCell ref="AB50:AF50"/>
    <mergeCell ref="B51:V51"/>
    <mergeCell ref="B37:AH37"/>
    <mergeCell ref="B39:AH39"/>
    <mergeCell ref="B41:AH41"/>
    <mergeCell ref="B43:AH43"/>
    <mergeCell ref="B45:AH45"/>
    <mergeCell ref="B32:AD32"/>
    <mergeCell ref="AE32:AI32"/>
    <mergeCell ref="C34:Y34"/>
    <mergeCell ref="B1:AH2"/>
    <mergeCell ref="B4:AH4"/>
    <mergeCell ref="B18:I18"/>
    <mergeCell ref="J18:O18"/>
    <mergeCell ref="P18:V18"/>
    <mergeCell ref="W18:AH18"/>
    <mergeCell ref="B8:AH8"/>
    <mergeCell ref="B6:O6"/>
    <mergeCell ref="P6:AH6"/>
    <mergeCell ref="B12:M12"/>
    <mergeCell ref="N10:P10"/>
    <mergeCell ref="V10:AH10"/>
    <mergeCell ref="B26:AH26"/>
    <mergeCell ref="B28:AH28"/>
    <mergeCell ref="B30:AH30"/>
    <mergeCell ref="Q10:U10"/>
    <mergeCell ref="Q12:U12"/>
    <mergeCell ref="N12:P12"/>
    <mergeCell ref="V12:AH12"/>
    <mergeCell ref="B16:D16"/>
    <mergeCell ref="E16:I16"/>
    <mergeCell ref="J16:Q16"/>
    <mergeCell ref="Z16:AA16"/>
    <mergeCell ref="R16:Y16"/>
    <mergeCell ref="Q14:S14"/>
    <mergeCell ref="T14:AH14"/>
    <mergeCell ref="B14:P14"/>
    <mergeCell ref="B10:M10"/>
    <mergeCell ref="B22:AH22"/>
    <mergeCell ref="B24:P24"/>
    <mergeCell ref="Q24:Z24"/>
    <mergeCell ref="AB16:AH16"/>
    <mergeCell ref="B20:AH20"/>
  </mergeCells>
  <phoneticPr fontId="2" type="noConversion"/>
  <dataValidations disablePrompts="1" count="1">
    <dataValidation type="list" allowBlank="1" showInputMessage="1" showErrorMessage="1" sqref="U80:AH80">
      <formula1>Empleados</formula1>
    </dataValidation>
  </dataValidations>
  <printOptions horizontalCentered="1"/>
  <pageMargins left="0.78740157480314965" right="0.74803149606299213" top="1.9685039370078741" bottom="0.59055118110236227" header="0" footer="0"/>
  <pageSetup paperSize="9" orientation="portrait" r:id="rId1"/>
  <headerFooter alignWithMargins="0">
    <oddHeader>&amp;L&amp;G&amp;C&amp;"Segoe UI,Negrita"&amp;12&amp;14MUNICIPALIDAD DE VILLA DE LAS ROSAS&amp;"Segoe UI,Normal"&amp;12Departamento San Javier - Córdoba&amp;R&amp;G</oddHeader>
    <oddFooter>&amp;C&amp;"Segoe UI,Negrita"&amp;11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/>
  <dimension ref="A1:G116"/>
  <sheetViews>
    <sheetView topLeftCell="A115" workbookViewId="0">
      <selection activeCell="D1" sqref="D1"/>
    </sheetView>
  </sheetViews>
  <sheetFormatPr baseColWidth="10" defaultColWidth="11.44140625" defaultRowHeight="15"/>
  <cols>
    <col min="1" max="1" width="37.44140625" style="16" bestFit="1" customWidth="1"/>
    <col min="2" max="2" width="13" style="15" bestFit="1" customWidth="1"/>
    <col min="3" max="16384" width="11.44140625" style="15"/>
  </cols>
  <sheetData>
    <row r="1" spans="1:7" ht="15.6">
      <c r="A1" s="14" t="s">
        <v>96</v>
      </c>
      <c r="B1" s="13" t="s">
        <v>117</v>
      </c>
    </row>
    <row r="2" spans="1:7">
      <c r="A2" s="22" t="s">
        <v>119</v>
      </c>
      <c r="B2" s="24">
        <v>35056284</v>
      </c>
      <c r="D2" s="12"/>
      <c r="E2" s="12"/>
      <c r="F2" s="12"/>
      <c r="G2" s="12"/>
    </row>
    <row r="3" spans="1:7">
      <c r="A3" s="33" t="s">
        <v>2</v>
      </c>
      <c r="B3" s="24">
        <v>22104088</v>
      </c>
      <c r="D3" s="12"/>
      <c r="E3" s="12"/>
      <c r="F3" s="12"/>
      <c r="G3" s="12"/>
    </row>
    <row r="4" spans="1:7">
      <c r="A4" s="22" t="s">
        <v>3</v>
      </c>
      <c r="B4" s="24">
        <v>13510382</v>
      </c>
      <c r="D4" s="12"/>
      <c r="E4" s="12"/>
      <c r="F4" s="12"/>
      <c r="G4" s="12"/>
    </row>
    <row r="5" spans="1:7">
      <c r="A5" s="22" t="s">
        <v>5</v>
      </c>
      <c r="B5" s="24">
        <v>37440465</v>
      </c>
      <c r="D5" s="12"/>
      <c r="E5" s="12"/>
      <c r="F5" s="12"/>
      <c r="G5" s="12"/>
    </row>
    <row r="6" spans="1:7">
      <c r="A6" s="22" t="s">
        <v>4</v>
      </c>
      <c r="B6" s="24">
        <v>25105469</v>
      </c>
      <c r="D6" s="12"/>
      <c r="E6" s="12"/>
      <c r="F6" s="12"/>
      <c r="G6" s="12"/>
    </row>
    <row r="7" spans="1:7">
      <c r="A7" s="26" t="s">
        <v>116</v>
      </c>
      <c r="B7" s="27">
        <v>27490511</v>
      </c>
      <c r="D7" s="12"/>
      <c r="E7" s="12"/>
      <c r="F7" s="12"/>
      <c r="G7" s="12"/>
    </row>
    <row r="8" spans="1:7">
      <c r="A8" s="22" t="s">
        <v>6</v>
      </c>
      <c r="B8" s="24">
        <v>16548892</v>
      </c>
      <c r="D8" s="12"/>
      <c r="E8" s="12"/>
      <c r="F8" s="12"/>
      <c r="G8" s="12"/>
    </row>
    <row r="9" spans="1:7">
      <c r="A9" s="31" t="s">
        <v>7</v>
      </c>
      <c r="B9" s="24">
        <v>32888764</v>
      </c>
      <c r="D9" s="12"/>
      <c r="E9" s="12"/>
      <c r="F9" s="12"/>
      <c r="G9" s="12"/>
    </row>
    <row r="10" spans="1:7">
      <c r="A10" s="22" t="s">
        <v>8</v>
      </c>
      <c r="B10" s="24">
        <v>31833125</v>
      </c>
      <c r="D10" s="12"/>
      <c r="E10" s="12"/>
      <c r="F10" s="12"/>
      <c r="G10" s="12"/>
    </row>
    <row r="11" spans="1:7">
      <c r="A11" s="22" t="s">
        <v>9</v>
      </c>
      <c r="B11" s="24">
        <v>32888789</v>
      </c>
      <c r="D11" s="12"/>
      <c r="E11" s="12"/>
      <c r="F11" s="12"/>
      <c r="G11" s="12"/>
    </row>
    <row r="12" spans="1:7">
      <c r="A12" s="26" t="s">
        <v>110</v>
      </c>
      <c r="B12" s="27">
        <v>10188932</v>
      </c>
      <c r="D12" s="12"/>
      <c r="E12" s="12"/>
      <c r="F12" s="12"/>
      <c r="G12" s="12"/>
    </row>
    <row r="13" spans="1:7">
      <c r="A13" s="21" t="s">
        <v>12</v>
      </c>
      <c r="B13" s="27">
        <v>36917595</v>
      </c>
      <c r="D13" s="12"/>
      <c r="E13" s="12"/>
      <c r="F13" s="12"/>
      <c r="G13" s="12"/>
    </row>
    <row r="14" spans="1:7">
      <c r="A14" s="22" t="s">
        <v>10</v>
      </c>
      <c r="B14" s="24">
        <v>21806004</v>
      </c>
      <c r="D14" s="12"/>
      <c r="E14" s="12"/>
      <c r="F14" s="12"/>
      <c r="G14" s="12"/>
    </row>
    <row r="15" spans="1:7">
      <c r="A15" s="22" t="s">
        <v>11</v>
      </c>
      <c r="B15" s="24">
        <v>28580097</v>
      </c>
      <c r="D15" s="12"/>
      <c r="E15" s="12"/>
      <c r="F15" s="12"/>
      <c r="G15" s="12"/>
    </row>
    <row r="16" spans="1:7">
      <c r="A16" s="30" t="s">
        <v>112</v>
      </c>
      <c r="B16" s="24">
        <v>16548895</v>
      </c>
      <c r="C16" s="17"/>
      <c r="D16" s="12"/>
      <c r="E16" s="12"/>
      <c r="F16" s="12"/>
      <c r="G16" s="12"/>
    </row>
    <row r="17" spans="1:7">
      <c r="A17" s="22" t="s">
        <v>13</v>
      </c>
      <c r="B17" s="27">
        <v>12099831</v>
      </c>
      <c r="C17" s="12"/>
      <c r="D17" s="12"/>
      <c r="E17" s="12"/>
      <c r="F17" s="12"/>
      <c r="G17" s="12"/>
    </row>
    <row r="18" spans="1:7">
      <c r="A18" s="25" t="s">
        <v>14</v>
      </c>
      <c r="B18" s="24">
        <v>8654451</v>
      </c>
      <c r="C18" s="12"/>
      <c r="D18" s="12"/>
      <c r="E18" s="12"/>
      <c r="F18" s="12"/>
      <c r="G18" s="12"/>
    </row>
    <row r="19" spans="1:7">
      <c r="A19" s="22" t="s">
        <v>15</v>
      </c>
      <c r="B19" s="27">
        <v>24462890</v>
      </c>
      <c r="C19" s="12"/>
      <c r="D19" s="12"/>
      <c r="E19" s="12"/>
      <c r="F19" s="12"/>
      <c r="G19" s="12"/>
    </row>
    <row r="20" spans="1:7">
      <c r="A20" s="25" t="s">
        <v>16</v>
      </c>
      <c r="B20" s="24">
        <v>16548853</v>
      </c>
      <c r="C20" s="12"/>
      <c r="D20" s="12"/>
      <c r="E20" s="12"/>
      <c r="F20" s="12"/>
      <c r="G20" s="12"/>
    </row>
    <row r="21" spans="1:7">
      <c r="A21" s="30" t="s">
        <v>113</v>
      </c>
      <c r="B21" s="24">
        <v>22104086</v>
      </c>
      <c r="C21" s="12"/>
      <c r="D21" s="12"/>
      <c r="E21" s="12"/>
      <c r="F21" s="12"/>
      <c r="G21" s="12"/>
    </row>
    <row r="22" spans="1:7">
      <c r="A22" s="22" t="s">
        <v>17</v>
      </c>
      <c r="B22" s="24">
        <v>17115884</v>
      </c>
      <c r="C22" s="12"/>
      <c r="D22" s="12"/>
      <c r="E22" s="12"/>
      <c r="F22" s="12"/>
      <c r="G22" s="12"/>
    </row>
    <row r="23" spans="1:7">
      <c r="A23" s="22" t="s">
        <v>18</v>
      </c>
      <c r="B23" s="24">
        <v>12089682</v>
      </c>
      <c r="C23" s="12"/>
      <c r="D23" s="12"/>
      <c r="E23" s="12"/>
      <c r="F23" s="12"/>
      <c r="G23" s="12"/>
    </row>
    <row r="24" spans="1:7">
      <c r="A24" s="22" t="s">
        <v>19</v>
      </c>
      <c r="B24" s="24">
        <v>36746850</v>
      </c>
      <c r="C24" s="12"/>
      <c r="D24" s="12"/>
      <c r="E24" s="12"/>
      <c r="F24" s="12"/>
      <c r="G24" s="12"/>
    </row>
    <row r="25" spans="1:7">
      <c r="A25" s="25" t="s">
        <v>20</v>
      </c>
      <c r="B25" s="27">
        <v>18710882</v>
      </c>
      <c r="C25" s="12"/>
      <c r="D25" s="12"/>
      <c r="E25" s="12"/>
      <c r="F25" s="12"/>
      <c r="G25" s="12"/>
    </row>
    <row r="26" spans="1:7">
      <c r="A26" s="25" t="s">
        <v>21</v>
      </c>
      <c r="B26" s="24">
        <v>16726686</v>
      </c>
      <c r="C26" s="12"/>
      <c r="D26" s="12"/>
      <c r="E26" s="12"/>
      <c r="F26" s="12"/>
      <c r="G26" s="12"/>
    </row>
    <row r="27" spans="1:7">
      <c r="A27" s="22" t="s">
        <v>22</v>
      </c>
      <c r="B27" s="24">
        <v>8651293</v>
      </c>
      <c r="C27" s="12"/>
      <c r="D27" s="12"/>
      <c r="E27" s="12"/>
      <c r="F27" s="12"/>
      <c r="G27" s="12"/>
    </row>
    <row r="28" spans="1:7">
      <c r="A28" s="22" t="s">
        <v>23</v>
      </c>
      <c r="B28" s="27">
        <v>26370203</v>
      </c>
      <c r="C28" s="12"/>
      <c r="D28" s="12"/>
      <c r="E28" s="12"/>
      <c r="F28" s="12"/>
      <c r="G28" s="12"/>
    </row>
    <row r="29" spans="1:7">
      <c r="A29" s="25" t="s">
        <v>24</v>
      </c>
      <c r="B29" s="24">
        <v>16038029</v>
      </c>
      <c r="C29" s="12"/>
      <c r="D29" s="12"/>
      <c r="E29" s="12"/>
      <c r="F29" s="12"/>
      <c r="G29" s="12"/>
    </row>
    <row r="30" spans="1:7">
      <c r="A30" s="22" t="s">
        <v>105</v>
      </c>
      <c r="B30" s="24">
        <v>31843161</v>
      </c>
      <c r="C30" s="12"/>
      <c r="D30" s="12"/>
      <c r="E30" s="12"/>
      <c r="F30" s="12"/>
      <c r="G30" s="12"/>
    </row>
    <row r="31" spans="1:7">
      <c r="A31" s="26" t="s">
        <v>115</v>
      </c>
      <c r="B31" s="27">
        <v>24259931</v>
      </c>
      <c r="C31" s="12"/>
      <c r="D31" s="12"/>
      <c r="E31" s="12"/>
      <c r="F31" s="12"/>
      <c r="G31" s="12"/>
    </row>
    <row r="32" spans="1:7">
      <c r="A32" s="22" t="s">
        <v>25</v>
      </c>
      <c r="B32" s="24">
        <v>21409266</v>
      </c>
      <c r="C32" s="12"/>
      <c r="D32" s="12"/>
      <c r="E32" s="12"/>
      <c r="F32" s="12"/>
      <c r="G32" s="12"/>
    </row>
    <row r="33" spans="1:7">
      <c r="A33" s="22" t="s">
        <v>26</v>
      </c>
      <c r="B33" s="24">
        <v>11649118</v>
      </c>
      <c r="C33" s="12"/>
      <c r="D33" s="12"/>
      <c r="E33" s="12"/>
      <c r="F33" s="12"/>
      <c r="G33" s="12"/>
    </row>
    <row r="34" spans="1:7">
      <c r="A34" s="22" t="s">
        <v>27</v>
      </c>
      <c r="B34" s="24">
        <v>23278527</v>
      </c>
      <c r="C34" s="12"/>
      <c r="D34" s="12"/>
      <c r="E34" s="12"/>
      <c r="F34" s="12"/>
      <c r="G34" s="12"/>
    </row>
    <row r="35" spans="1:7">
      <c r="A35" s="22" t="s">
        <v>28</v>
      </c>
      <c r="B35" s="24">
        <v>18259436</v>
      </c>
    </row>
    <row r="36" spans="1:7">
      <c r="A36" s="25" t="s">
        <v>29</v>
      </c>
      <c r="B36" s="24">
        <v>21409540</v>
      </c>
    </row>
    <row r="37" spans="1:7">
      <c r="A37" s="25" t="s">
        <v>30</v>
      </c>
      <c r="B37" s="27">
        <v>32888789</v>
      </c>
    </row>
    <row r="38" spans="1:7">
      <c r="A38" s="22" t="s">
        <v>31</v>
      </c>
      <c r="B38" s="24">
        <v>13618919</v>
      </c>
    </row>
    <row r="39" spans="1:7">
      <c r="A39" s="25" t="s">
        <v>107</v>
      </c>
      <c r="B39" s="24">
        <v>6699866</v>
      </c>
    </row>
    <row r="40" spans="1:7">
      <c r="A40" s="22" t="s">
        <v>32</v>
      </c>
      <c r="B40" s="24">
        <v>27682010</v>
      </c>
    </row>
    <row r="41" spans="1:7">
      <c r="A41" s="25" t="s">
        <v>33</v>
      </c>
      <c r="B41" s="24">
        <v>14876963</v>
      </c>
    </row>
    <row r="42" spans="1:7">
      <c r="A42" s="22" t="s">
        <v>102</v>
      </c>
      <c r="B42" s="24">
        <v>24939938</v>
      </c>
    </row>
    <row r="43" spans="1:7">
      <c r="A43" s="22" t="s">
        <v>34</v>
      </c>
      <c r="B43" s="24">
        <v>27535396</v>
      </c>
    </row>
    <row r="44" spans="1:7">
      <c r="A44" s="22" t="s">
        <v>35</v>
      </c>
      <c r="B44" s="24">
        <v>18289138</v>
      </c>
    </row>
    <row r="45" spans="1:7">
      <c r="A45" s="22" t="s">
        <v>36</v>
      </c>
      <c r="B45" s="24">
        <v>17639009</v>
      </c>
    </row>
    <row r="46" spans="1:7">
      <c r="A46" s="22" t="s">
        <v>37</v>
      </c>
      <c r="B46" s="24">
        <v>23398016</v>
      </c>
    </row>
    <row r="47" spans="1:7">
      <c r="A47" s="22" t="s">
        <v>38</v>
      </c>
      <c r="B47" s="24">
        <v>12019977</v>
      </c>
    </row>
    <row r="48" spans="1:7">
      <c r="A48" s="22" t="s">
        <v>39</v>
      </c>
      <c r="B48" s="24">
        <v>4651293</v>
      </c>
    </row>
    <row r="49" spans="1:2">
      <c r="A49" s="22" t="s">
        <v>40</v>
      </c>
      <c r="B49" s="24">
        <v>31044952</v>
      </c>
    </row>
    <row r="50" spans="1:2">
      <c r="A50" s="22" t="s">
        <v>41</v>
      </c>
      <c r="B50" s="24">
        <v>32888614</v>
      </c>
    </row>
    <row r="51" spans="1:2">
      <c r="A51" s="30" t="s">
        <v>114</v>
      </c>
      <c r="B51" s="24">
        <v>23763202</v>
      </c>
    </row>
    <row r="52" spans="1:2">
      <c r="A52" s="22" t="s">
        <v>42</v>
      </c>
      <c r="B52" s="24">
        <v>32390939</v>
      </c>
    </row>
    <row r="53" spans="1:2">
      <c r="A53" s="23" t="s">
        <v>45</v>
      </c>
      <c r="B53" s="24">
        <v>34737328</v>
      </c>
    </row>
    <row r="54" spans="1:2">
      <c r="A54" s="25" t="s">
        <v>43</v>
      </c>
      <c r="B54" s="24">
        <v>16909161</v>
      </c>
    </row>
    <row r="55" spans="1:2">
      <c r="A55" s="22" t="s">
        <v>44</v>
      </c>
      <c r="B55" s="24">
        <v>30063209</v>
      </c>
    </row>
    <row r="56" spans="1:2">
      <c r="A56" s="31" t="s">
        <v>104</v>
      </c>
      <c r="B56" s="24">
        <v>36986968</v>
      </c>
    </row>
    <row r="57" spans="1:2">
      <c r="A57" s="25" t="s">
        <v>108</v>
      </c>
      <c r="B57" s="24">
        <v>7974108</v>
      </c>
    </row>
    <row r="58" spans="1:2">
      <c r="A58" s="22" t="s">
        <v>46</v>
      </c>
      <c r="B58" s="24">
        <v>16727062</v>
      </c>
    </row>
    <row r="59" spans="1:2">
      <c r="A59" s="25" t="s">
        <v>47</v>
      </c>
      <c r="B59" s="27">
        <v>25105481</v>
      </c>
    </row>
    <row r="60" spans="1:2">
      <c r="A60" s="22" t="s">
        <v>48</v>
      </c>
      <c r="B60" s="24">
        <v>36917565</v>
      </c>
    </row>
    <row r="61" spans="1:2">
      <c r="A61" s="22" t="s">
        <v>49</v>
      </c>
      <c r="B61" s="24">
        <v>31250256</v>
      </c>
    </row>
    <row r="62" spans="1:2">
      <c r="A62" s="22" t="s">
        <v>50</v>
      </c>
      <c r="B62" s="24">
        <v>27761958</v>
      </c>
    </row>
    <row r="63" spans="1:2">
      <c r="A63" s="21" t="s">
        <v>51</v>
      </c>
      <c r="B63" s="24">
        <v>38019669</v>
      </c>
    </row>
    <row r="64" spans="1:2">
      <c r="A64" s="22" t="s">
        <v>97</v>
      </c>
      <c r="B64" s="24">
        <v>18645940</v>
      </c>
    </row>
    <row r="65" spans="1:2">
      <c r="A65" s="22" t="s">
        <v>52</v>
      </c>
      <c r="B65" s="24">
        <v>22104082</v>
      </c>
    </row>
    <row r="66" spans="1:2">
      <c r="A66" s="22" t="s">
        <v>53</v>
      </c>
      <c r="B66" s="24">
        <v>14203968</v>
      </c>
    </row>
    <row r="67" spans="1:2">
      <c r="A67" s="22" t="s">
        <v>54</v>
      </c>
      <c r="B67" s="24">
        <v>17583984</v>
      </c>
    </row>
    <row r="68" spans="1:2">
      <c r="A68" s="22" t="s">
        <v>55</v>
      </c>
      <c r="B68" s="24">
        <v>34274582</v>
      </c>
    </row>
    <row r="69" spans="1:2">
      <c r="A69" s="22" t="s">
        <v>100</v>
      </c>
      <c r="B69" s="24">
        <v>30702133</v>
      </c>
    </row>
    <row r="70" spans="1:2">
      <c r="A70" s="22" t="s">
        <v>56</v>
      </c>
      <c r="B70" s="24">
        <v>18645961</v>
      </c>
    </row>
    <row r="71" spans="1:2">
      <c r="A71" s="29" t="s">
        <v>111</v>
      </c>
      <c r="B71" s="24">
        <v>14948955</v>
      </c>
    </row>
    <row r="72" spans="1:2">
      <c r="A72" s="25" t="s">
        <v>57</v>
      </c>
      <c r="B72" s="24">
        <v>16038050</v>
      </c>
    </row>
    <row r="73" spans="1:2">
      <c r="A73" s="30" t="s">
        <v>106</v>
      </c>
      <c r="B73" s="24">
        <v>6494294</v>
      </c>
    </row>
    <row r="74" spans="1:2">
      <c r="A74" s="23" t="s">
        <v>58</v>
      </c>
      <c r="B74" s="27">
        <v>21408882</v>
      </c>
    </row>
    <row r="75" spans="1:2">
      <c r="A75" s="22" t="s">
        <v>59</v>
      </c>
      <c r="B75" s="24">
        <v>31602867</v>
      </c>
    </row>
    <row r="76" spans="1:2">
      <c r="A76" s="32" t="s">
        <v>60</v>
      </c>
      <c r="B76" s="24">
        <v>27125470</v>
      </c>
    </row>
    <row r="77" spans="1:2">
      <c r="A77" s="25" t="s">
        <v>61</v>
      </c>
      <c r="B77" s="24">
        <v>14928818</v>
      </c>
    </row>
    <row r="78" spans="1:2">
      <c r="A78" s="25" t="s">
        <v>62</v>
      </c>
      <c r="B78" s="24">
        <v>14153918</v>
      </c>
    </row>
    <row r="79" spans="1:2">
      <c r="A79" s="25" t="s">
        <v>63</v>
      </c>
      <c r="B79" s="27">
        <v>22104026</v>
      </c>
    </row>
    <row r="80" spans="1:2">
      <c r="A80" s="22" t="s">
        <v>64</v>
      </c>
      <c r="B80" s="24">
        <v>27034243</v>
      </c>
    </row>
    <row r="81" spans="1:2">
      <c r="A81" s="22" t="s">
        <v>65</v>
      </c>
      <c r="B81" s="24">
        <v>34274588</v>
      </c>
    </row>
    <row r="82" spans="1:2">
      <c r="A82" s="22" t="s">
        <v>66</v>
      </c>
      <c r="B82" s="24">
        <v>16548882</v>
      </c>
    </row>
    <row r="83" spans="1:2">
      <c r="A83" s="22" t="s">
        <v>67</v>
      </c>
      <c r="B83" s="24">
        <v>35529545</v>
      </c>
    </row>
    <row r="84" spans="1:2">
      <c r="A84" s="22" t="s">
        <v>68</v>
      </c>
      <c r="B84" s="24">
        <v>21806032</v>
      </c>
    </row>
    <row r="85" spans="1:2">
      <c r="A85" s="22" t="s">
        <v>103</v>
      </c>
      <c r="B85" s="24">
        <v>24221323</v>
      </c>
    </row>
    <row r="86" spans="1:2">
      <c r="A86" s="22" t="s">
        <v>69</v>
      </c>
      <c r="B86" s="24">
        <v>29452541</v>
      </c>
    </row>
    <row r="87" spans="1:2">
      <c r="A87" s="25" t="s">
        <v>70</v>
      </c>
      <c r="B87" s="24">
        <v>36917569</v>
      </c>
    </row>
    <row r="88" spans="1:2">
      <c r="A88" s="22" t="s">
        <v>71</v>
      </c>
      <c r="B88" s="24">
        <v>25309161</v>
      </c>
    </row>
    <row r="89" spans="1:2">
      <c r="A89" s="22" t="s">
        <v>72</v>
      </c>
      <c r="B89" s="24">
        <v>23414868</v>
      </c>
    </row>
    <row r="90" spans="1:2">
      <c r="A90" s="22" t="s">
        <v>73</v>
      </c>
      <c r="B90" s="24">
        <v>30063246</v>
      </c>
    </row>
    <row r="91" spans="1:2">
      <c r="A91" s="22" t="s">
        <v>74</v>
      </c>
      <c r="B91" s="24">
        <v>11067046</v>
      </c>
    </row>
    <row r="92" spans="1:2">
      <c r="A92" s="22" t="s">
        <v>101</v>
      </c>
      <c r="B92" s="24">
        <v>34274684</v>
      </c>
    </row>
    <row r="93" spans="1:2">
      <c r="A93" s="22" t="s">
        <v>75</v>
      </c>
      <c r="B93" s="24">
        <v>17328623</v>
      </c>
    </row>
    <row r="94" spans="1:2">
      <c r="A94" s="22" t="s">
        <v>76</v>
      </c>
      <c r="B94" s="24">
        <v>31833121</v>
      </c>
    </row>
    <row r="95" spans="1:2">
      <c r="A95" s="25" t="s">
        <v>77</v>
      </c>
      <c r="B95" s="28">
        <v>14427992</v>
      </c>
    </row>
    <row r="96" spans="1:2">
      <c r="A96" s="30" t="s">
        <v>109</v>
      </c>
      <c r="B96" s="24">
        <v>10188932</v>
      </c>
    </row>
    <row r="97" spans="1:2">
      <c r="A97" s="25" t="s">
        <v>78</v>
      </c>
      <c r="B97" s="24">
        <v>16038030</v>
      </c>
    </row>
    <row r="98" spans="1:2">
      <c r="A98" s="22" t="s">
        <v>79</v>
      </c>
      <c r="B98" s="24">
        <v>18095667</v>
      </c>
    </row>
    <row r="99" spans="1:2">
      <c r="A99" s="22" t="s">
        <v>80</v>
      </c>
      <c r="B99" s="24">
        <v>25628735</v>
      </c>
    </row>
    <row r="100" spans="1:2">
      <c r="A100" s="22" t="s">
        <v>81</v>
      </c>
      <c r="B100" s="24">
        <v>11050259</v>
      </c>
    </row>
    <row r="101" spans="1:2">
      <c r="A101" s="22" t="s">
        <v>82</v>
      </c>
      <c r="B101" s="24">
        <v>21806097</v>
      </c>
    </row>
    <row r="102" spans="1:2">
      <c r="A102" s="30" t="s">
        <v>83</v>
      </c>
      <c r="B102" s="24">
        <v>36917538</v>
      </c>
    </row>
    <row r="103" spans="1:2">
      <c r="A103" s="25" t="s">
        <v>84</v>
      </c>
      <c r="B103" s="24">
        <v>12019925</v>
      </c>
    </row>
    <row r="104" spans="1:2">
      <c r="A104" s="25" t="s">
        <v>85</v>
      </c>
      <c r="B104" s="24">
        <v>20397351</v>
      </c>
    </row>
    <row r="105" spans="1:2">
      <c r="A105" s="22" t="s">
        <v>98</v>
      </c>
      <c r="B105" s="27">
        <v>29069024</v>
      </c>
    </row>
    <row r="106" spans="1:2">
      <c r="A106" s="22" t="s">
        <v>99</v>
      </c>
      <c r="B106" s="27">
        <v>18595248</v>
      </c>
    </row>
    <row r="107" spans="1:2">
      <c r="A107" s="22" t="s">
        <v>86</v>
      </c>
      <c r="B107" s="24">
        <v>11171223</v>
      </c>
    </row>
    <row r="108" spans="1:2">
      <c r="A108" s="25" t="s">
        <v>87</v>
      </c>
      <c r="B108" s="24">
        <v>16909200</v>
      </c>
    </row>
    <row r="109" spans="1:2">
      <c r="A109" s="22" t="s">
        <v>88</v>
      </c>
      <c r="B109" s="24">
        <v>18645949</v>
      </c>
    </row>
    <row r="110" spans="1:2">
      <c r="A110" s="22" t="s">
        <v>89</v>
      </c>
      <c r="B110" s="24">
        <v>18645935</v>
      </c>
    </row>
    <row r="111" spans="1:2">
      <c r="A111" s="25" t="s">
        <v>90</v>
      </c>
      <c r="B111" s="24">
        <v>8359661</v>
      </c>
    </row>
    <row r="112" spans="1:2">
      <c r="A112" s="22" t="s">
        <v>91</v>
      </c>
      <c r="B112" s="24">
        <v>16909153</v>
      </c>
    </row>
    <row r="113" spans="1:2">
      <c r="A113" s="25" t="s">
        <v>92</v>
      </c>
      <c r="B113" s="24">
        <v>10430703</v>
      </c>
    </row>
    <row r="114" spans="1:2">
      <c r="A114" s="25" t="s">
        <v>93</v>
      </c>
      <c r="B114" s="27">
        <v>22104089</v>
      </c>
    </row>
    <row r="115" spans="1:2">
      <c r="A115" s="25" t="s">
        <v>94</v>
      </c>
      <c r="B115" s="27">
        <v>26301987</v>
      </c>
    </row>
    <row r="116" spans="1:2">
      <c r="A116" s="22" t="s">
        <v>95</v>
      </c>
      <c r="B116" s="24">
        <v>33293315</v>
      </c>
    </row>
  </sheetData>
  <sortState ref="A2:B113">
    <sortCondition ref="A2:A113"/>
  </sortState>
  <dataValidations count="2">
    <dataValidation type="list" allowBlank="1" showInputMessage="1" showErrorMessage="1" sqref="A128">
      <formula1>TODOS</formula1>
    </dataValidation>
    <dataValidation type="list" allowBlank="1" showInputMessage="1" showErrorMessage="1" sqref="A77:A78 A108:A109">
      <formula1>personal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L219"/>
  <sheetViews>
    <sheetView tabSelected="1" zoomScale="90" zoomScaleNormal="90" workbookViewId="0">
      <pane ySplit="1" topLeftCell="A213" activePane="bottomLeft" state="frozen"/>
      <selection pane="bottomLeft" activeCell="A205" sqref="A205:XFD205"/>
    </sheetView>
  </sheetViews>
  <sheetFormatPr baseColWidth="10" defaultRowHeight="13.2"/>
  <cols>
    <col min="1" max="1" width="29.109375" bestFit="1" customWidth="1"/>
    <col min="2" max="2" width="14.6640625" customWidth="1"/>
    <col min="3" max="3" width="11.5546875" style="60" bestFit="1" customWidth="1"/>
    <col min="4" max="4" width="80.88671875" customWidth="1"/>
    <col min="5" max="5" width="81.5546875" customWidth="1"/>
    <col min="6" max="6" width="77.5546875" customWidth="1"/>
    <col min="7" max="7" width="23.5546875" bestFit="1" customWidth="1"/>
    <col min="8" max="8" width="11.109375" customWidth="1"/>
    <col min="9" max="9" width="16.109375" bestFit="1" customWidth="1"/>
    <col min="10" max="10" width="20.5546875" bestFit="1" customWidth="1"/>
    <col min="12" max="15" width="11.5546875" customWidth="1"/>
  </cols>
  <sheetData>
    <row r="1" spans="1:12" s="73" customFormat="1" ht="13.8">
      <c r="A1" s="71" t="s">
        <v>134</v>
      </c>
      <c r="B1" s="71" t="s">
        <v>135</v>
      </c>
      <c r="C1" s="72" t="s">
        <v>136</v>
      </c>
      <c r="D1" s="73" t="s">
        <v>151</v>
      </c>
      <c r="E1" s="73" t="s">
        <v>152</v>
      </c>
      <c r="F1" s="73" t="s">
        <v>153</v>
      </c>
      <c r="G1" s="73" t="s">
        <v>143</v>
      </c>
      <c r="H1" s="73" t="s">
        <v>147</v>
      </c>
      <c r="I1" s="73" t="s">
        <v>144</v>
      </c>
      <c r="J1" s="73" t="s">
        <v>145</v>
      </c>
      <c r="K1" s="73" t="s">
        <v>600</v>
      </c>
      <c r="L1" s="73" t="s">
        <v>601</v>
      </c>
    </row>
    <row r="2" spans="1:12" ht="26.4">
      <c r="A2" s="48" t="s">
        <v>4</v>
      </c>
      <c r="B2" s="24">
        <v>25105469</v>
      </c>
      <c r="C2" s="51">
        <f>31*7*15.25+14*15.25+7*15.25+76.25+20*20</f>
        <v>4105.75</v>
      </c>
      <c r="D2" s="50" t="s">
        <v>165</v>
      </c>
      <c r="E2" s="50" t="s">
        <v>160</v>
      </c>
      <c r="F2" s="50" t="s">
        <v>164</v>
      </c>
      <c r="G2" s="49" t="s">
        <v>162</v>
      </c>
      <c r="H2" s="49" t="s">
        <v>148</v>
      </c>
      <c r="I2" t="s">
        <v>146</v>
      </c>
      <c r="J2" s="49" t="s">
        <v>163</v>
      </c>
    </row>
    <row r="3" spans="1:12" ht="26.4">
      <c r="A3" s="48" t="s">
        <v>4</v>
      </c>
      <c r="B3" s="24">
        <v>25105469</v>
      </c>
      <c r="C3" s="51">
        <f>208*15.25+20*45</f>
        <v>4072</v>
      </c>
      <c r="D3" s="50" t="s">
        <v>215</v>
      </c>
      <c r="E3" s="50" t="s">
        <v>160</v>
      </c>
      <c r="F3" s="50" t="s">
        <v>164</v>
      </c>
      <c r="G3" s="49" t="s">
        <v>162</v>
      </c>
      <c r="H3" s="49" t="s">
        <v>148</v>
      </c>
      <c r="I3" t="s">
        <v>146</v>
      </c>
      <c r="J3" s="49" t="s">
        <v>163</v>
      </c>
    </row>
    <row r="4" spans="1:12" ht="26.4">
      <c r="A4" s="48" t="s">
        <v>180</v>
      </c>
      <c r="B4" s="24">
        <v>22203958</v>
      </c>
      <c r="C4" s="51">
        <f>128*15.25</f>
        <v>1952</v>
      </c>
      <c r="D4" s="50" t="s">
        <v>181</v>
      </c>
      <c r="E4" s="50" t="s">
        <v>168</v>
      </c>
      <c r="F4" s="50" t="s">
        <v>164</v>
      </c>
      <c r="G4" s="49" t="s">
        <v>162</v>
      </c>
      <c r="H4" s="49" t="s">
        <v>148</v>
      </c>
      <c r="I4" t="s">
        <v>146</v>
      </c>
      <c r="J4" s="49" t="s">
        <v>163</v>
      </c>
    </row>
    <row r="5" spans="1:12" ht="26.4">
      <c r="A5" s="48" t="s">
        <v>180</v>
      </c>
      <c r="B5" s="24">
        <v>22203958</v>
      </c>
      <c r="C5" s="51">
        <f>110*15.25</f>
        <v>1677.5</v>
      </c>
      <c r="D5" s="50" t="s">
        <v>225</v>
      </c>
      <c r="E5" s="50" t="s">
        <v>168</v>
      </c>
      <c r="F5" s="50" t="s">
        <v>164</v>
      </c>
      <c r="G5" s="49" t="s">
        <v>162</v>
      </c>
      <c r="H5" s="49" t="s">
        <v>148</v>
      </c>
      <c r="I5" t="s">
        <v>146</v>
      </c>
      <c r="J5" s="49" t="s">
        <v>163</v>
      </c>
    </row>
    <row r="6" spans="1:12" ht="26.4">
      <c r="A6" s="48" t="s">
        <v>205</v>
      </c>
      <c r="B6" s="24">
        <v>10042836</v>
      </c>
      <c r="C6" s="51">
        <v>6000</v>
      </c>
      <c r="D6" s="50" t="s">
        <v>206</v>
      </c>
      <c r="E6" s="50" t="s">
        <v>207</v>
      </c>
      <c r="F6" s="50" t="s">
        <v>164</v>
      </c>
      <c r="G6" s="49" t="s">
        <v>208</v>
      </c>
      <c r="H6" s="49">
        <v>1490</v>
      </c>
      <c r="I6" t="s">
        <v>209</v>
      </c>
      <c r="J6" s="49" t="s">
        <v>209</v>
      </c>
    </row>
    <row r="7" spans="1:12" ht="26.4">
      <c r="A7" s="48" t="s">
        <v>105</v>
      </c>
      <c r="B7" s="24">
        <v>31843161</v>
      </c>
      <c r="C7" s="51">
        <f>49*15.25</f>
        <v>747.25</v>
      </c>
      <c r="D7" s="50" t="s">
        <v>228</v>
      </c>
      <c r="E7" s="50" t="s">
        <v>168</v>
      </c>
      <c r="F7" s="50" t="s">
        <v>164</v>
      </c>
      <c r="G7" s="49" t="s">
        <v>162</v>
      </c>
      <c r="H7" s="49" t="s">
        <v>148</v>
      </c>
      <c r="I7" t="s">
        <v>146</v>
      </c>
      <c r="J7" s="49" t="s">
        <v>163</v>
      </c>
    </row>
    <row r="8" spans="1:12" ht="26.4">
      <c r="A8" s="48" t="s">
        <v>138</v>
      </c>
      <c r="B8" s="24">
        <v>16909166</v>
      </c>
      <c r="C8" s="51">
        <f>15.25*7*31</f>
        <v>3309.25</v>
      </c>
      <c r="D8" s="50" t="s">
        <v>172</v>
      </c>
      <c r="E8" s="50" t="s">
        <v>168</v>
      </c>
      <c r="F8" s="50" t="s">
        <v>164</v>
      </c>
      <c r="G8" s="49" t="s">
        <v>162</v>
      </c>
      <c r="H8" s="49" t="s">
        <v>148</v>
      </c>
      <c r="I8" t="s">
        <v>146</v>
      </c>
      <c r="J8" s="49" t="s">
        <v>163</v>
      </c>
    </row>
    <row r="9" spans="1:12" ht="26.4">
      <c r="A9" s="48" t="s">
        <v>138</v>
      </c>
      <c r="B9" s="24">
        <v>16909166</v>
      </c>
      <c r="C9" s="51">
        <f>298*15.25</f>
        <v>4544.5</v>
      </c>
      <c r="D9" s="50" t="s">
        <v>222</v>
      </c>
      <c r="E9" s="50" t="s">
        <v>168</v>
      </c>
      <c r="F9" s="50" t="s">
        <v>164</v>
      </c>
      <c r="G9" s="49" t="s">
        <v>162</v>
      </c>
      <c r="H9" s="49" t="s">
        <v>148</v>
      </c>
      <c r="I9" t="s">
        <v>146</v>
      </c>
      <c r="J9" s="49" t="s">
        <v>163</v>
      </c>
    </row>
    <row r="10" spans="1:12">
      <c r="A10" s="48" t="s">
        <v>187</v>
      </c>
      <c r="B10" s="24">
        <v>18443519</v>
      </c>
      <c r="C10" s="51">
        <f>1500+2200</f>
        <v>3700</v>
      </c>
      <c r="D10" s="50" t="s">
        <v>188</v>
      </c>
      <c r="E10" s="50" t="s">
        <v>190</v>
      </c>
      <c r="F10" s="50" t="s">
        <v>189</v>
      </c>
      <c r="G10" s="49" t="s">
        <v>191</v>
      </c>
      <c r="H10" s="49" t="s">
        <v>148</v>
      </c>
      <c r="I10" t="s">
        <v>192</v>
      </c>
      <c r="J10" s="49" t="s">
        <v>193</v>
      </c>
    </row>
    <row r="11" spans="1:12" ht="26.4">
      <c r="A11" s="48" t="s">
        <v>182</v>
      </c>
      <c r="B11" s="24">
        <v>22785188</v>
      </c>
      <c r="C11" s="51">
        <v>9000</v>
      </c>
      <c r="D11" s="50" t="s">
        <v>186</v>
      </c>
      <c r="E11" s="50" t="s">
        <v>185</v>
      </c>
      <c r="F11" s="50" t="s">
        <v>164</v>
      </c>
      <c r="G11" s="49" t="s">
        <v>183</v>
      </c>
      <c r="H11" s="49">
        <v>75</v>
      </c>
      <c r="I11" t="s">
        <v>184</v>
      </c>
      <c r="J11" s="49" t="s">
        <v>184</v>
      </c>
    </row>
    <row r="12" spans="1:12" ht="26.4">
      <c r="A12" s="48" t="s">
        <v>177</v>
      </c>
      <c r="B12" s="24">
        <v>14203979</v>
      </c>
      <c r="C12" s="51">
        <f>110.5*15.25</f>
        <v>1685.125</v>
      </c>
      <c r="D12" s="50" t="s">
        <v>179</v>
      </c>
      <c r="E12" s="50" t="s">
        <v>168</v>
      </c>
      <c r="F12" s="50" t="s">
        <v>164</v>
      </c>
      <c r="G12" s="49" t="s">
        <v>162</v>
      </c>
      <c r="H12" s="49" t="s">
        <v>148</v>
      </c>
      <c r="I12" t="s">
        <v>146</v>
      </c>
      <c r="J12" s="49" t="s">
        <v>163</v>
      </c>
    </row>
    <row r="13" spans="1:12" ht="26.4">
      <c r="A13" s="48" t="s">
        <v>177</v>
      </c>
      <c r="B13" s="24">
        <v>14203979</v>
      </c>
      <c r="C13" s="51">
        <f>100.5*15.25</f>
        <v>1532.625</v>
      </c>
      <c r="D13" s="50" t="s">
        <v>227</v>
      </c>
      <c r="E13" s="50" t="s">
        <v>168</v>
      </c>
      <c r="F13" s="50" t="s">
        <v>164</v>
      </c>
      <c r="G13" s="49" t="s">
        <v>162</v>
      </c>
      <c r="H13" s="49" t="s">
        <v>148</v>
      </c>
      <c r="I13" t="s">
        <v>146</v>
      </c>
      <c r="J13" s="49" t="s">
        <v>163</v>
      </c>
    </row>
    <row r="14" spans="1:12" ht="26.4">
      <c r="A14" s="48" t="s">
        <v>102</v>
      </c>
      <c r="B14" s="24">
        <v>24939938</v>
      </c>
      <c r="C14" s="51">
        <f>31*7*15.25+14*15.25+7*15.25</f>
        <v>3629.5</v>
      </c>
      <c r="D14" s="50" t="s">
        <v>169</v>
      </c>
      <c r="E14" s="50" t="s">
        <v>168</v>
      </c>
      <c r="F14" s="50" t="s">
        <v>164</v>
      </c>
      <c r="G14" s="49" t="s">
        <v>162</v>
      </c>
      <c r="H14" s="49" t="s">
        <v>148</v>
      </c>
      <c r="I14" t="s">
        <v>146</v>
      </c>
      <c r="J14" s="49" t="s">
        <v>163</v>
      </c>
    </row>
    <row r="15" spans="1:12" ht="26.4">
      <c r="A15" s="48" t="s">
        <v>102</v>
      </c>
      <c r="B15" s="24">
        <v>24939938</v>
      </c>
      <c r="C15" s="51">
        <f>208*15.25</f>
        <v>3172</v>
      </c>
      <c r="D15" s="50" t="s">
        <v>218</v>
      </c>
      <c r="E15" s="50" t="s">
        <v>168</v>
      </c>
      <c r="F15" s="50" t="s">
        <v>164</v>
      </c>
      <c r="G15" s="49" t="s">
        <v>162</v>
      </c>
      <c r="H15" s="49" t="s">
        <v>148</v>
      </c>
      <c r="I15" t="s">
        <v>146</v>
      </c>
      <c r="J15" s="49" t="s">
        <v>163</v>
      </c>
    </row>
    <row r="16" spans="1:12" ht="26.4">
      <c r="A16" s="48" t="s">
        <v>141</v>
      </c>
      <c r="B16" s="24">
        <v>30941488</v>
      </c>
      <c r="C16" s="51">
        <f>31*7*15.25+14*15.25+7*15.25</f>
        <v>3629.5</v>
      </c>
      <c r="D16" s="50" t="s">
        <v>169</v>
      </c>
      <c r="E16" s="50" t="s">
        <v>168</v>
      </c>
      <c r="F16" s="50" t="s">
        <v>164</v>
      </c>
      <c r="G16" s="49" t="s">
        <v>162</v>
      </c>
      <c r="H16" s="49" t="s">
        <v>148</v>
      </c>
      <c r="I16" t="s">
        <v>146</v>
      </c>
      <c r="J16" s="49" t="s">
        <v>163</v>
      </c>
    </row>
    <row r="17" spans="1:10" ht="26.4">
      <c r="A17" s="48" t="s">
        <v>141</v>
      </c>
      <c r="B17" s="24">
        <v>30941488</v>
      </c>
      <c r="C17" s="51">
        <f>31*7*15.25+14*15.25+7*15.25</f>
        <v>3629.5</v>
      </c>
      <c r="D17" s="50" t="s">
        <v>224</v>
      </c>
      <c r="E17" s="50" t="s">
        <v>168</v>
      </c>
      <c r="F17" s="50" t="s">
        <v>164</v>
      </c>
      <c r="G17" s="49" t="s">
        <v>162</v>
      </c>
      <c r="H17" s="49" t="s">
        <v>148</v>
      </c>
      <c r="I17" t="s">
        <v>146</v>
      </c>
      <c r="J17" s="49" t="s">
        <v>163</v>
      </c>
    </row>
    <row r="18" spans="1:10" ht="26.4">
      <c r="A18" s="48" t="s">
        <v>210</v>
      </c>
      <c r="B18" s="24">
        <v>24250090</v>
      </c>
      <c r="C18" s="51">
        <v>2000</v>
      </c>
      <c r="D18" s="50" t="s">
        <v>211</v>
      </c>
      <c r="E18" s="50" t="s">
        <v>212</v>
      </c>
      <c r="F18" s="50" t="s">
        <v>164</v>
      </c>
      <c r="G18" s="49" t="s">
        <v>213</v>
      </c>
      <c r="H18" s="49">
        <v>0</v>
      </c>
      <c r="I18" t="s">
        <v>214</v>
      </c>
      <c r="J18" s="49" t="s">
        <v>209</v>
      </c>
    </row>
    <row r="19" spans="1:10" ht="26.4">
      <c r="A19" s="48" t="s">
        <v>139</v>
      </c>
      <c r="B19" s="24">
        <v>36795955</v>
      </c>
      <c r="C19" s="51">
        <f>31*7*15.25+9*15.25*7+14*15.25</f>
        <v>4483.5</v>
      </c>
      <c r="D19" s="50" t="s">
        <v>173</v>
      </c>
      <c r="E19" s="50" t="s">
        <v>168</v>
      </c>
      <c r="F19" s="50" t="s">
        <v>164</v>
      </c>
      <c r="G19" s="49" t="s">
        <v>162</v>
      </c>
      <c r="H19" s="49" t="s">
        <v>148</v>
      </c>
      <c r="I19" t="s">
        <v>146</v>
      </c>
      <c r="J19" s="49" t="s">
        <v>163</v>
      </c>
    </row>
    <row r="20" spans="1:10" ht="21.75" customHeight="1">
      <c r="A20" s="48" t="s">
        <v>139</v>
      </c>
      <c r="B20" s="24">
        <v>36795955</v>
      </c>
      <c r="C20" s="51">
        <f>126*15.25</f>
        <v>1921.5</v>
      </c>
      <c r="D20" s="50" t="s">
        <v>223</v>
      </c>
      <c r="E20" s="50" t="s">
        <v>168</v>
      </c>
      <c r="F20" s="50" t="s">
        <v>164</v>
      </c>
      <c r="G20" s="49" t="s">
        <v>162</v>
      </c>
      <c r="H20" s="49" t="s">
        <v>148</v>
      </c>
      <c r="I20" t="s">
        <v>146</v>
      </c>
      <c r="J20" s="49" t="s">
        <v>163</v>
      </c>
    </row>
    <row r="21" spans="1:10" ht="26.4">
      <c r="A21" s="55" t="s">
        <v>200</v>
      </c>
      <c r="B21" s="56">
        <v>33017391</v>
      </c>
      <c r="C21" s="60">
        <v>1400</v>
      </c>
      <c r="D21" s="50" t="s">
        <v>201</v>
      </c>
      <c r="E21" s="50" t="s">
        <v>202</v>
      </c>
      <c r="F21" s="50" t="s">
        <v>168</v>
      </c>
      <c r="G21" s="57" t="s">
        <v>203</v>
      </c>
      <c r="H21" s="57" t="s">
        <v>148</v>
      </c>
      <c r="I21" s="57" t="s">
        <v>204</v>
      </c>
      <c r="J21" s="57" t="s">
        <v>163</v>
      </c>
    </row>
    <row r="22" spans="1:10" ht="26.4">
      <c r="A22" s="55" t="s">
        <v>197</v>
      </c>
      <c r="B22" s="56">
        <v>13252325</v>
      </c>
      <c r="C22" s="60">
        <v>700</v>
      </c>
      <c r="D22" s="50" t="s">
        <v>198</v>
      </c>
      <c r="E22" s="50" t="s">
        <v>168</v>
      </c>
      <c r="F22" s="50" t="s">
        <v>168</v>
      </c>
      <c r="G22" s="57" t="s">
        <v>162</v>
      </c>
      <c r="H22" s="57" t="s">
        <v>148</v>
      </c>
      <c r="I22" s="57" t="s">
        <v>199</v>
      </c>
      <c r="J22" s="57" t="s">
        <v>163</v>
      </c>
    </row>
    <row r="23" spans="1:10" ht="26.4">
      <c r="A23" s="48" t="s">
        <v>104</v>
      </c>
      <c r="B23" s="24">
        <v>36986968</v>
      </c>
      <c r="C23" s="51">
        <f>14*7*15.25+6*15.25+7*7*15.25+70*15.25</f>
        <v>3400.75</v>
      </c>
      <c r="D23" s="50" t="s">
        <v>170</v>
      </c>
      <c r="E23" s="50" t="s">
        <v>168</v>
      </c>
      <c r="F23" s="50" t="s">
        <v>164</v>
      </c>
      <c r="G23" s="49" t="s">
        <v>162</v>
      </c>
      <c r="H23" s="49" t="s">
        <v>148</v>
      </c>
      <c r="I23" t="s">
        <v>146</v>
      </c>
      <c r="J23" s="49" t="s">
        <v>163</v>
      </c>
    </row>
    <row r="24" spans="1:10" ht="26.4">
      <c r="A24" s="48" t="s">
        <v>104</v>
      </c>
      <c r="B24" s="24">
        <v>36986968</v>
      </c>
      <c r="C24" s="51">
        <f>149*15.25</f>
        <v>2272.25</v>
      </c>
      <c r="D24" s="50" t="s">
        <v>220</v>
      </c>
      <c r="E24" s="50" t="s">
        <v>168</v>
      </c>
      <c r="F24" s="50" t="s">
        <v>164</v>
      </c>
      <c r="G24" s="49" t="s">
        <v>162</v>
      </c>
      <c r="H24" s="49" t="s">
        <v>148</v>
      </c>
      <c r="I24" t="s">
        <v>146</v>
      </c>
      <c r="J24" s="49" t="s">
        <v>163</v>
      </c>
    </row>
    <row r="25" spans="1:10" ht="26.4">
      <c r="A25" s="48" t="s">
        <v>178</v>
      </c>
      <c r="B25" s="24">
        <v>17943702</v>
      </c>
      <c r="C25" s="51">
        <f>80.5*15.25</f>
        <v>1227.625</v>
      </c>
      <c r="D25" s="50" t="s">
        <v>176</v>
      </c>
      <c r="E25" s="50" t="s">
        <v>168</v>
      </c>
      <c r="F25" s="50" t="s">
        <v>164</v>
      </c>
      <c r="G25" s="49" t="s">
        <v>162</v>
      </c>
      <c r="H25" s="49" t="s">
        <v>148</v>
      </c>
      <c r="I25" t="s">
        <v>146</v>
      </c>
      <c r="J25" s="49" t="s">
        <v>163</v>
      </c>
    </row>
    <row r="26" spans="1:10" ht="26.4">
      <c r="A26" s="48" t="s">
        <v>178</v>
      </c>
      <c r="B26" s="24">
        <v>17943702</v>
      </c>
      <c r="C26" s="51">
        <f>140.5*15.25</f>
        <v>2142.625</v>
      </c>
      <c r="D26" s="50" t="s">
        <v>226</v>
      </c>
      <c r="E26" s="50" t="s">
        <v>168</v>
      </c>
      <c r="F26" s="50" t="s">
        <v>164</v>
      </c>
      <c r="G26" s="49" t="s">
        <v>162</v>
      </c>
      <c r="H26" s="49" t="s">
        <v>148</v>
      </c>
      <c r="I26" t="s">
        <v>146</v>
      </c>
      <c r="J26" s="49" t="s">
        <v>163</v>
      </c>
    </row>
    <row r="27" spans="1:10" ht="26.4">
      <c r="A27" s="48" t="s">
        <v>100</v>
      </c>
      <c r="B27" s="24">
        <v>30702133</v>
      </c>
      <c r="C27" s="51">
        <f>31*7*15.25+14*15.25</f>
        <v>3522.75</v>
      </c>
      <c r="D27" s="50" t="s">
        <v>167</v>
      </c>
      <c r="E27" s="50" t="s">
        <v>168</v>
      </c>
      <c r="F27" s="50" t="s">
        <v>164</v>
      </c>
      <c r="G27" s="49" t="s">
        <v>162</v>
      </c>
      <c r="H27" s="49" t="s">
        <v>148</v>
      </c>
      <c r="I27" t="s">
        <v>146</v>
      </c>
      <c r="J27" s="49" t="s">
        <v>163</v>
      </c>
    </row>
    <row r="28" spans="1:10" ht="26.4">
      <c r="A28" s="48" t="s">
        <v>100</v>
      </c>
      <c r="B28" s="24">
        <v>30702133</v>
      </c>
      <c r="C28" s="51">
        <f>130*15.25</f>
        <v>1982.5</v>
      </c>
      <c r="D28" s="50" t="s">
        <v>217</v>
      </c>
      <c r="E28" s="50" t="s">
        <v>168</v>
      </c>
      <c r="F28" s="50" t="s">
        <v>164</v>
      </c>
      <c r="G28" s="49" t="s">
        <v>162</v>
      </c>
      <c r="H28" s="49" t="s">
        <v>148</v>
      </c>
      <c r="I28" t="s">
        <v>146</v>
      </c>
      <c r="J28" s="49" t="s">
        <v>163</v>
      </c>
    </row>
    <row r="29" spans="1:10" ht="26.4">
      <c r="A29" s="48" t="s">
        <v>140</v>
      </c>
      <c r="B29" s="24">
        <v>32888635</v>
      </c>
      <c r="C29" s="51">
        <v>3000</v>
      </c>
      <c r="D29" s="50" t="s">
        <v>174</v>
      </c>
      <c r="E29" s="50" t="s">
        <v>168</v>
      </c>
      <c r="F29" s="50" t="s">
        <v>164</v>
      </c>
      <c r="G29" s="49" t="s">
        <v>162</v>
      </c>
      <c r="H29" s="49" t="s">
        <v>148</v>
      </c>
      <c r="I29" t="s">
        <v>146</v>
      </c>
      <c r="J29" s="49" t="s">
        <v>163</v>
      </c>
    </row>
    <row r="30" spans="1:10" ht="26.4">
      <c r="A30" s="48" t="s">
        <v>140</v>
      </c>
      <c r="B30" s="24">
        <v>32888635</v>
      </c>
      <c r="C30" s="51">
        <v>3854</v>
      </c>
      <c r="D30" s="50" t="s">
        <v>174</v>
      </c>
      <c r="E30" s="50" t="s">
        <v>168</v>
      </c>
      <c r="F30" s="50" t="s">
        <v>164</v>
      </c>
      <c r="G30" s="49" t="s">
        <v>162</v>
      </c>
      <c r="H30" s="49" t="s">
        <v>148</v>
      </c>
      <c r="I30" t="s">
        <v>146</v>
      </c>
      <c r="J30" s="49" t="s">
        <v>163</v>
      </c>
    </row>
    <row r="31" spans="1:10" ht="26.4">
      <c r="A31" s="48" t="s">
        <v>137</v>
      </c>
      <c r="B31" s="24">
        <v>36917671</v>
      </c>
      <c r="C31" s="51">
        <f>14*7*15.25+6*15.25+7*7*15.25+28*15.25</f>
        <v>2760.25</v>
      </c>
      <c r="D31" s="50" t="s">
        <v>171</v>
      </c>
      <c r="E31" s="50" t="s">
        <v>168</v>
      </c>
      <c r="F31" s="50" t="s">
        <v>164</v>
      </c>
      <c r="G31" s="49" t="s">
        <v>162</v>
      </c>
      <c r="H31" s="49" t="s">
        <v>148</v>
      </c>
      <c r="I31" t="s">
        <v>146</v>
      </c>
      <c r="J31" s="49" t="s">
        <v>163</v>
      </c>
    </row>
    <row r="32" spans="1:10" ht="26.4">
      <c r="A32" s="48" t="s">
        <v>137</v>
      </c>
      <c r="B32" s="24">
        <v>36917671</v>
      </c>
      <c r="C32" s="51">
        <f>122*15.25</f>
        <v>1860.5</v>
      </c>
      <c r="D32" s="50" t="s">
        <v>221</v>
      </c>
      <c r="E32" s="50" t="s">
        <v>168</v>
      </c>
      <c r="F32" s="50" t="s">
        <v>164</v>
      </c>
      <c r="G32" s="49" t="s">
        <v>162</v>
      </c>
      <c r="H32" s="49" t="s">
        <v>148</v>
      </c>
      <c r="I32" t="s">
        <v>146</v>
      </c>
      <c r="J32" s="49" t="s">
        <v>163</v>
      </c>
    </row>
    <row r="33" spans="1:10" ht="26.4">
      <c r="A33" s="48" t="s">
        <v>103</v>
      </c>
      <c r="B33" s="24">
        <v>24221323</v>
      </c>
      <c r="C33" s="51">
        <f>31*7*15.25+7*15.25+14*15.25</f>
        <v>3629.5</v>
      </c>
      <c r="D33" s="50" t="s">
        <v>169</v>
      </c>
      <c r="E33" s="50" t="s">
        <v>168</v>
      </c>
      <c r="F33" s="50" t="s">
        <v>164</v>
      </c>
      <c r="G33" s="49" t="s">
        <v>162</v>
      </c>
      <c r="H33" s="49" t="s">
        <v>148</v>
      </c>
      <c r="I33" t="s">
        <v>146</v>
      </c>
      <c r="J33" s="49" t="s">
        <v>163</v>
      </c>
    </row>
    <row r="34" spans="1:10" ht="26.4">
      <c r="A34" s="48" t="s">
        <v>103</v>
      </c>
      <c r="B34" s="24">
        <v>24221323</v>
      </c>
      <c r="C34" s="51">
        <f>191*15.25</f>
        <v>2912.75</v>
      </c>
      <c r="D34" s="50" t="s">
        <v>219</v>
      </c>
      <c r="E34" s="50" t="s">
        <v>168</v>
      </c>
      <c r="F34" s="50" t="s">
        <v>164</v>
      </c>
      <c r="G34" s="49" t="s">
        <v>162</v>
      </c>
      <c r="H34" s="49" t="s">
        <v>148</v>
      </c>
      <c r="I34" t="s">
        <v>146</v>
      </c>
      <c r="J34" s="49" t="s">
        <v>163</v>
      </c>
    </row>
    <row r="35" spans="1:10" ht="26.4">
      <c r="A35" s="48" t="s">
        <v>98</v>
      </c>
      <c r="B35" s="24">
        <v>29069024</v>
      </c>
      <c r="C35" s="51">
        <f>31*7*15.25+3*15.25+14*15.25+7*20</f>
        <v>3708.5</v>
      </c>
      <c r="D35" s="50" t="s">
        <v>166</v>
      </c>
      <c r="E35" s="50" t="s">
        <v>160</v>
      </c>
      <c r="F35" s="50" t="s">
        <v>164</v>
      </c>
      <c r="G35" s="49" t="s">
        <v>162</v>
      </c>
      <c r="H35" s="49" t="s">
        <v>148</v>
      </c>
      <c r="I35" t="s">
        <v>146</v>
      </c>
      <c r="J35" s="49" t="s">
        <v>163</v>
      </c>
    </row>
    <row r="36" spans="1:10" ht="26.4">
      <c r="A36" s="48" t="s">
        <v>98</v>
      </c>
      <c r="B36" s="24">
        <v>29069024</v>
      </c>
      <c r="C36" s="51">
        <f>198*15.25</f>
        <v>3019.5</v>
      </c>
      <c r="D36" s="50" t="s">
        <v>216</v>
      </c>
      <c r="E36" s="50" t="s">
        <v>168</v>
      </c>
      <c r="F36" s="50" t="s">
        <v>164</v>
      </c>
      <c r="G36" s="49" t="s">
        <v>162</v>
      </c>
      <c r="H36" s="49" t="s">
        <v>148</v>
      </c>
      <c r="I36" t="s">
        <v>146</v>
      </c>
      <c r="J36" s="49" t="s">
        <v>163</v>
      </c>
    </row>
    <row r="37" spans="1:10" ht="26.4">
      <c r="A37" s="48" t="s">
        <v>99</v>
      </c>
      <c r="B37" s="24">
        <v>18595248</v>
      </c>
      <c r="C37" s="51">
        <f>31*7*15.25+3*15.25+14*15.25+7*20</f>
        <v>3708.5</v>
      </c>
      <c r="D37" s="50" t="s">
        <v>166</v>
      </c>
      <c r="E37" s="50" t="s">
        <v>160</v>
      </c>
      <c r="F37" s="50" t="s">
        <v>164</v>
      </c>
      <c r="G37" s="49" t="s">
        <v>162</v>
      </c>
      <c r="H37" s="49" t="s">
        <v>148</v>
      </c>
      <c r="I37" t="s">
        <v>146</v>
      </c>
      <c r="J37" s="49" t="s">
        <v>163</v>
      </c>
    </row>
    <row r="38" spans="1:10" ht="26.4">
      <c r="A38" s="48" t="s">
        <v>99</v>
      </c>
      <c r="B38" s="24">
        <v>18595248</v>
      </c>
      <c r="C38" s="51">
        <f>198*15.25</f>
        <v>3019.5</v>
      </c>
      <c r="D38" s="50" t="s">
        <v>216</v>
      </c>
      <c r="E38" s="50" t="s">
        <v>168</v>
      </c>
      <c r="F38" s="50" t="s">
        <v>164</v>
      </c>
      <c r="G38" s="49" t="s">
        <v>162</v>
      </c>
      <c r="H38" s="49" t="s">
        <v>148</v>
      </c>
      <c r="I38" t="s">
        <v>146</v>
      </c>
      <c r="J38" s="49" t="s">
        <v>163</v>
      </c>
    </row>
    <row r="39" spans="1:10" ht="26.4">
      <c r="A39" s="48" t="s">
        <v>194</v>
      </c>
      <c r="B39" s="24">
        <v>8359654</v>
      </c>
      <c r="C39" s="51">
        <v>650</v>
      </c>
      <c r="D39" s="50" t="s">
        <v>195</v>
      </c>
      <c r="E39" s="50" t="s">
        <v>168</v>
      </c>
      <c r="F39" s="50" t="s">
        <v>168</v>
      </c>
      <c r="G39" s="49" t="s">
        <v>196</v>
      </c>
      <c r="H39" s="49" t="s">
        <v>148</v>
      </c>
      <c r="I39" t="s">
        <v>146</v>
      </c>
      <c r="J39" s="49" t="s">
        <v>163</v>
      </c>
    </row>
    <row r="40" spans="1:10" ht="26.4">
      <c r="A40" s="48" t="s">
        <v>142</v>
      </c>
      <c r="B40" s="24">
        <v>12328432</v>
      </c>
      <c r="C40" s="51">
        <v>3500</v>
      </c>
      <c r="D40" s="50" t="s">
        <v>175</v>
      </c>
      <c r="E40" s="50" t="s">
        <v>168</v>
      </c>
      <c r="F40" s="50" t="s">
        <v>164</v>
      </c>
      <c r="G40" s="49" t="s">
        <v>162</v>
      </c>
      <c r="H40" s="49" t="s">
        <v>148</v>
      </c>
      <c r="I40" t="s">
        <v>146</v>
      </c>
      <c r="J40" s="49" t="s">
        <v>163</v>
      </c>
    </row>
    <row r="41" spans="1:10" ht="26.4">
      <c r="A41" s="48" t="s">
        <v>142</v>
      </c>
      <c r="B41" s="24">
        <v>12328432</v>
      </c>
      <c r="C41" s="51">
        <f>3500+15.25*5</f>
        <v>3576.25</v>
      </c>
      <c r="D41" s="50" t="s">
        <v>175</v>
      </c>
      <c r="E41" s="50" t="s">
        <v>168</v>
      </c>
      <c r="F41" s="50" t="s">
        <v>164</v>
      </c>
      <c r="G41" s="49" t="s">
        <v>162</v>
      </c>
      <c r="H41" s="49" t="s">
        <v>148</v>
      </c>
      <c r="I41" t="s">
        <v>146</v>
      </c>
      <c r="J41" s="49" t="s">
        <v>163</v>
      </c>
    </row>
    <row r="42" spans="1:10">
      <c r="A42" s="48" t="s">
        <v>229</v>
      </c>
      <c r="B42" s="24">
        <v>6699842</v>
      </c>
      <c r="C42" s="51">
        <v>1500</v>
      </c>
      <c r="D42" s="50" t="s">
        <v>230</v>
      </c>
      <c r="E42" s="50" t="s">
        <v>231</v>
      </c>
      <c r="F42" s="50" t="s">
        <v>189</v>
      </c>
      <c r="G42" s="49" t="s">
        <v>232</v>
      </c>
      <c r="H42" s="49">
        <v>130</v>
      </c>
      <c r="I42" t="s">
        <v>199</v>
      </c>
      <c r="J42" s="49" t="s">
        <v>163</v>
      </c>
    </row>
    <row r="43" spans="1:10">
      <c r="A43" s="48" t="s">
        <v>233</v>
      </c>
      <c r="B43" s="24">
        <v>16684064</v>
      </c>
      <c r="C43" s="51">
        <v>1500</v>
      </c>
      <c r="D43" s="50" t="s">
        <v>234</v>
      </c>
      <c r="E43" s="50" t="s">
        <v>236</v>
      </c>
      <c r="F43" s="50" t="s">
        <v>235</v>
      </c>
      <c r="G43" s="49" t="s">
        <v>237</v>
      </c>
      <c r="H43" s="49">
        <v>973</v>
      </c>
      <c r="I43" s="49" t="s">
        <v>146</v>
      </c>
      <c r="J43" s="49" t="s">
        <v>163</v>
      </c>
    </row>
    <row r="44" spans="1:10">
      <c r="A44" s="48" t="s">
        <v>238</v>
      </c>
      <c r="B44" s="24">
        <v>16684026</v>
      </c>
      <c r="C44" s="51">
        <v>600</v>
      </c>
      <c r="D44" s="50" t="s">
        <v>239</v>
      </c>
      <c r="E44" s="50" t="s">
        <v>231</v>
      </c>
      <c r="F44" s="50" t="s">
        <v>189</v>
      </c>
      <c r="G44" s="49" t="s">
        <v>240</v>
      </c>
      <c r="H44" s="49">
        <v>278</v>
      </c>
      <c r="I44" s="49" t="s">
        <v>146</v>
      </c>
      <c r="J44" s="49" t="s">
        <v>163</v>
      </c>
    </row>
    <row r="45" spans="1:10">
      <c r="A45" s="48" t="s">
        <v>241</v>
      </c>
      <c r="B45" s="24">
        <v>10740636</v>
      </c>
      <c r="C45" s="51">
        <v>16000</v>
      </c>
      <c r="D45" s="50" t="s">
        <v>242</v>
      </c>
      <c r="E45" s="50" t="s">
        <v>243</v>
      </c>
      <c r="F45" s="50" t="s">
        <v>189</v>
      </c>
      <c r="G45" s="49" t="s">
        <v>244</v>
      </c>
      <c r="H45" s="49">
        <v>780</v>
      </c>
      <c r="I45" s="49" t="s">
        <v>199</v>
      </c>
      <c r="J45" s="49" t="s">
        <v>163</v>
      </c>
    </row>
    <row r="46" spans="1:10" ht="26.4">
      <c r="A46" s="48" t="s">
        <v>210</v>
      </c>
      <c r="B46" s="24">
        <v>24250090</v>
      </c>
      <c r="C46" s="51">
        <v>1800</v>
      </c>
      <c r="D46" s="50" t="s">
        <v>245</v>
      </c>
      <c r="E46" s="50" t="s">
        <v>246</v>
      </c>
      <c r="F46" s="50" t="s">
        <v>164</v>
      </c>
      <c r="G46" s="49" t="s">
        <v>213</v>
      </c>
      <c r="H46" s="49">
        <v>0</v>
      </c>
      <c r="I46" t="s">
        <v>214</v>
      </c>
      <c r="J46" s="49" t="s">
        <v>247</v>
      </c>
    </row>
    <row r="47" spans="1:10" ht="26.4">
      <c r="A47" s="48" t="s">
        <v>178</v>
      </c>
      <c r="B47" s="24">
        <v>17943702</v>
      </c>
      <c r="C47" s="51">
        <f>60*15.25</f>
        <v>915</v>
      </c>
      <c r="D47" s="50" t="s">
        <v>248</v>
      </c>
      <c r="E47" s="50" t="s">
        <v>168</v>
      </c>
      <c r="F47" s="50" t="s">
        <v>164</v>
      </c>
      <c r="G47" s="49" t="s">
        <v>162</v>
      </c>
      <c r="H47" s="49" t="s">
        <v>148</v>
      </c>
      <c r="I47" t="s">
        <v>146</v>
      </c>
      <c r="J47" s="49" t="s">
        <v>163</v>
      </c>
    </row>
    <row r="48" spans="1:10" ht="26.4">
      <c r="A48" s="55" t="s">
        <v>200</v>
      </c>
      <c r="B48" s="56">
        <v>33017391</v>
      </c>
      <c r="C48" s="60">
        <v>820</v>
      </c>
      <c r="D48" s="50" t="s">
        <v>249</v>
      </c>
      <c r="E48" s="50" t="s">
        <v>250</v>
      </c>
      <c r="F48" s="50" t="s">
        <v>168</v>
      </c>
      <c r="G48" s="57" t="s">
        <v>203</v>
      </c>
      <c r="H48" s="57" t="s">
        <v>148</v>
      </c>
      <c r="I48" s="57" t="s">
        <v>204</v>
      </c>
      <c r="J48" s="57" t="s">
        <v>163</v>
      </c>
    </row>
    <row r="49" spans="1:10" ht="26.4">
      <c r="A49" s="48" t="s">
        <v>180</v>
      </c>
      <c r="B49" s="24">
        <v>22203958</v>
      </c>
      <c r="C49" s="51">
        <f>108*15.25</f>
        <v>1647</v>
      </c>
      <c r="D49" s="50" t="s">
        <v>251</v>
      </c>
      <c r="E49" s="50" t="s">
        <v>168</v>
      </c>
      <c r="F49" s="50" t="s">
        <v>164</v>
      </c>
      <c r="G49" s="49" t="s">
        <v>162</v>
      </c>
      <c r="H49" s="49" t="s">
        <v>148</v>
      </c>
      <c r="I49" t="s">
        <v>146</v>
      </c>
      <c r="J49" s="49" t="s">
        <v>163</v>
      </c>
    </row>
    <row r="50" spans="1:10" ht="26.4">
      <c r="A50" s="48" t="s">
        <v>177</v>
      </c>
      <c r="B50" s="24">
        <v>14203979</v>
      </c>
      <c r="C50" s="51">
        <f>61*15.25</f>
        <v>930.25</v>
      </c>
      <c r="D50" s="50" t="s">
        <v>252</v>
      </c>
      <c r="E50" s="50" t="s">
        <v>168</v>
      </c>
      <c r="F50" s="50" t="s">
        <v>164</v>
      </c>
      <c r="G50" s="49" t="s">
        <v>162</v>
      </c>
      <c r="H50" s="49" t="s">
        <v>148</v>
      </c>
      <c r="I50" t="s">
        <v>146</v>
      </c>
      <c r="J50" s="49" t="s">
        <v>163</v>
      </c>
    </row>
    <row r="51" spans="1:10">
      <c r="A51" s="48" t="s">
        <v>253</v>
      </c>
      <c r="B51" s="24">
        <v>14411009</v>
      </c>
      <c r="C51" s="51">
        <v>1600</v>
      </c>
      <c r="D51" s="50" t="s">
        <v>254</v>
      </c>
      <c r="E51" s="50" t="s">
        <v>255</v>
      </c>
      <c r="F51" s="50" t="s">
        <v>256</v>
      </c>
      <c r="G51" s="49" t="s">
        <v>257</v>
      </c>
      <c r="H51" s="49">
        <v>1000</v>
      </c>
      <c r="I51" t="s">
        <v>199</v>
      </c>
      <c r="J51" s="49" t="s">
        <v>163</v>
      </c>
    </row>
    <row r="52" spans="1:10">
      <c r="A52" s="48" t="s">
        <v>259</v>
      </c>
      <c r="B52" s="24">
        <v>29204043</v>
      </c>
      <c r="C52" s="51">
        <v>2000</v>
      </c>
      <c r="D52" s="50" t="s">
        <v>258</v>
      </c>
      <c r="E52" s="50" t="s">
        <v>255</v>
      </c>
      <c r="F52" s="50" t="s">
        <v>256</v>
      </c>
      <c r="G52" s="49" t="s">
        <v>260</v>
      </c>
      <c r="H52" s="49">
        <v>995</v>
      </c>
      <c r="I52" t="s">
        <v>199</v>
      </c>
      <c r="J52" s="49" t="s">
        <v>163</v>
      </c>
    </row>
    <row r="53" spans="1:10">
      <c r="A53" s="48" t="s">
        <v>261</v>
      </c>
      <c r="B53" s="24">
        <v>8652547</v>
      </c>
      <c r="C53" s="51">
        <v>500</v>
      </c>
      <c r="D53" s="50" t="s">
        <v>262</v>
      </c>
      <c r="E53" s="50" t="s">
        <v>255</v>
      </c>
      <c r="F53" s="50" t="s">
        <v>256</v>
      </c>
      <c r="G53" s="49" t="s">
        <v>162</v>
      </c>
      <c r="H53" s="49">
        <v>0</v>
      </c>
      <c r="I53" t="s">
        <v>263</v>
      </c>
      <c r="J53" s="49" t="s">
        <v>163</v>
      </c>
    </row>
    <row r="54" spans="1:10" ht="26.4">
      <c r="A54" s="48" t="s">
        <v>200</v>
      </c>
      <c r="B54" s="24">
        <v>33017391</v>
      </c>
      <c r="C54" s="51">
        <v>900</v>
      </c>
      <c r="D54" s="50" t="s">
        <v>264</v>
      </c>
      <c r="E54" s="50" t="s">
        <v>168</v>
      </c>
      <c r="F54" s="50" t="s">
        <v>168</v>
      </c>
      <c r="G54" s="49" t="s">
        <v>203</v>
      </c>
      <c r="H54" s="49" t="s">
        <v>148</v>
      </c>
      <c r="I54" t="s">
        <v>204</v>
      </c>
      <c r="J54" s="49" t="s">
        <v>163</v>
      </c>
    </row>
    <row r="55" spans="1:10" ht="26.4">
      <c r="A55" s="48" t="s">
        <v>265</v>
      </c>
      <c r="B55" s="24">
        <v>17911380</v>
      </c>
      <c r="C55" s="51">
        <v>4000</v>
      </c>
      <c r="D55" s="50" t="s">
        <v>266</v>
      </c>
      <c r="E55" s="50" t="s">
        <v>267</v>
      </c>
      <c r="F55" s="50" t="s">
        <v>268</v>
      </c>
      <c r="G55" s="49" t="s">
        <v>269</v>
      </c>
      <c r="H55" s="49">
        <v>641</v>
      </c>
      <c r="I55" t="s">
        <v>209</v>
      </c>
      <c r="J55" s="49" t="s">
        <v>209</v>
      </c>
    </row>
    <row r="56" spans="1:10" ht="26.4">
      <c r="A56" s="48" t="s">
        <v>259</v>
      </c>
      <c r="B56" s="24">
        <v>29204043</v>
      </c>
      <c r="C56" s="51">
        <v>1000</v>
      </c>
      <c r="D56" s="50" t="s">
        <v>270</v>
      </c>
      <c r="E56" s="50" t="s">
        <v>267</v>
      </c>
      <c r="F56" s="50" t="s">
        <v>268</v>
      </c>
      <c r="G56" s="49" t="s">
        <v>260</v>
      </c>
      <c r="H56" s="49">
        <v>995</v>
      </c>
      <c r="I56" t="s">
        <v>199</v>
      </c>
      <c r="J56" s="49" t="s">
        <v>163</v>
      </c>
    </row>
    <row r="57" spans="1:10" ht="26.4">
      <c r="A57" s="48" t="s">
        <v>271</v>
      </c>
      <c r="B57" s="24">
        <v>13821921</v>
      </c>
      <c r="C57" s="51">
        <v>5500</v>
      </c>
      <c r="D57" s="50" t="s">
        <v>272</v>
      </c>
      <c r="E57" s="50" t="s">
        <v>267</v>
      </c>
      <c r="F57" s="50" t="s">
        <v>268</v>
      </c>
      <c r="G57" s="49" t="s">
        <v>273</v>
      </c>
      <c r="H57" s="49">
        <v>841</v>
      </c>
      <c r="I57" s="49" t="s">
        <v>274</v>
      </c>
      <c r="J57" s="49" t="s">
        <v>163</v>
      </c>
    </row>
    <row r="58" spans="1:10" ht="26.4">
      <c r="A58" s="48" t="s">
        <v>229</v>
      </c>
      <c r="B58" s="24">
        <v>6699842</v>
      </c>
      <c r="C58" s="51">
        <v>2000</v>
      </c>
      <c r="D58" s="50" t="s">
        <v>275</v>
      </c>
      <c r="E58" s="50" t="s">
        <v>267</v>
      </c>
      <c r="F58" s="50" t="s">
        <v>268</v>
      </c>
      <c r="G58" s="49" t="s">
        <v>232</v>
      </c>
      <c r="H58" s="49">
        <v>130</v>
      </c>
      <c r="I58" t="s">
        <v>199</v>
      </c>
      <c r="J58" s="49" t="s">
        <v>163</v>
      </c>
    </row>
    <row r="59" spans="1:10" ht="26.4">
      <c r="A59" s="48" t="s">
        <v>180</v>
      </c>
      <c r="B59" s="24">
        <v>22203958</v>
      </c>
      <c r="C59" s="51">
        <f>124*15.25</f>
        <v>1891</v>
      </c>
      <c r="D59" s="50" t="s">
        <v>276</v>
      </c>
      <c r="E59" s="50" t="s">
        <v>168</v>
      </c>
      <c r="F59" s="50" t="s">
        <v>164</v>
      </c>
      <c r="G59" s="49" t="s">
        <v>162</v>
      </c>
      <c r="H59" s="49" t="s">
        <v>148</v>
      </c>
      <c r="I59" t="s">
        <v>146</v>
      </c>
      <c r="J59" s="49" t="s">
        <v>163</v>
      </c>
    </row>
    <row r="60" spans="1:10" ht="26.4">
      <c r="A60" s="48" t="s">
        <v>177</v>
      </c>
      <c r="B60" s="24">
        <v>14203979</v>
      </c>
      <c r="C60" s="51">
        <f>56*18.63+52</f>
        <v>1095.28</v>
      </c>
      <c r="D60" s="50" t="s">
        <v>277</v>
      </c>
      <c r="E60" s="50" t="s">
        <v>168</v>
      </c>
      <c r="F60" s="50" t="s">
        <v>164</v>
      </c>
      <c r="G60" s="49" t="s">
        <v>162</v>
      </c>
      <c r="H60" s="49" t="s">
        <v>148</v>
      </c>
      <c r="I60" t="s">
        <v>146</v>
      </c>
      <c r="J60" s="49" t="s">
        <v>163</v>
      </c>
    </row>
    <row r="61" spans="1:10" ht="26.4">
      <c r="A61" s="48" t="s">
        <v>278</v>
      </c>
      <c r="B61" s="24">
        <v>23851714</v>
      </c>
      <c r="C61" s="51">
        <f>44*18.63</f>
        <v>819.71999999999991</v>
      </c>
      <c r="D61" s="50" t="s">
        <v>279</v>
      </c>
      <c r="E61" s="50" t="s">
        <v>168</v>
      </c>
      <c r="F61" s="50" t="s">
        <v>164</v>
      </c>
      <c r="G61" s="49" t="s">
        <v>280</v>
      </c>
      <c r="H61" s="49">
        <v>339</v>
      </c>
      <c r="I61" t="s">
        <v>199</v>
      </c>
      <c r="J61" s="49" t="s">
        <v>163</v>
      </c>
    </row>
    <row r="62" spans="1:10" ht="26.4">
      <c r="A62" s="48" t="s">
        <v>180</v>
      </c>
      <c r="B62" s="24">
        <v>22203958</v>
      </c>
      <c r="C62" s="51">
        <f>111.5*15.25</f>
        <v>1700.375</v>
      </c>
      <c r="D62" s="50" t="s">
        <v>281</v>
      </c>
      <c r="E62" s="50" t="s">
        <v>168</v>
      </c>
      <c r="F62" s="50" t="s">
        <v>164</v>
      </c>
      <c r="G62" s="49" t="s">
        <v>162</v>
      </c>
      <c r="H62" s="49" t="s">
        <v>148</v>
      </c>
      <c r="I62" t="s">
        <v>146</v>
      </c>
      <c r="J62" s="49" t="s">
        <v>163</v>
      </c>
    </row>
    <row r="63" spans="1:10">
      <c r="A63" s="48" t="s">
        <v>229</v>
      </c>
      <c r="B63" s="24">
        <v>6699842</v>
      </c>
      <c r="C63" s="51">
        <f>1500+1300+6000</f>
        <v>8800</v>
      </c>
      <c r="D63" s="50" t="s">
        <v>282</v>
      </c>
      <c r="E63" s="50" t="s">
        <v>283</v>
      </c>
      <c r="F63" s="50" t="s">
        <v>284</v>
      </c>
      <c r="G63" s="49" t="s">
        <v>232</v>
      </c>
      <c r="H63" s="49">
        <v>130</v>
      </c>
      <c r="I63" t="s">
        <v>199</v>
      </c>
      <c r="J63" s="49" t="s">
        <v>163</v>
      </c>
    </row>
    <row r="64" spans="1:10" ht="26.4">
      <c r="A64" s="48" t="s">
        <v>285</v>
      </c>
      <c r="B64" s="24">
        <v>17764523</v>
      </c>
      <c r="C64" s="51">
        <v>3500</v>
      </c>
      <c r="D64" s="50" t="s">
        <v>286</v>
      </c>
      <c r="E64" s="50" t="s">
        <v>287</v>
      </c>
      <c r="F64" s="50" t="s">
        <v>288</v>
      </c>
      <c r="G64" s="49" t="s">
        <v>289</v>
      </c>
      <c r="H64" s="49" t="s">
        <v>290</v>
      </c>
      <c r="I64" t="s">
        <v>199</v>
      </c>
      <c r="J64" s="49" t="s">
        <v>163</v>
      </c>
    </row>
    <row r="65" spans="1:10">
      <c r="A65" s="48" t="s">
        <v>238</v>
      </c>
      <c r="B65" s="24">
        <v>16684026</v>
      </c>
      <c r="C65" s="51">
        <v>1000</v>
      </c>
      <c r="D65" s="50" t="s">
        <v>291</v>
      </c>
      <c r="E65" s="50" t="s">
        <v>292</v>
      </c>
      <c r="F65" s="50" t="s">
        <v>293</v>
      </c>
      <c r="G65" s="49" t="s">
        <v>240</v>
      </c>
      <c r="H65" s="49">
        <v>278</v>
      </c>
      <c r="I65" s="49" t="s">
        <v>146</v>
      </c>
      <c r="J65" s="49" t="s">
        <v>163</v>
      </c>
    </row>
    <row r="66" spans="1:10">
      <c r="A66" s="48" t="s">
        <v>294</v>
      </c>
      <c r="B66" s="24">
        <v>29851400</v>
      </c>
      <c r="C66" s="51">
        <v>1500</v>
      </c>
      <c r="D66" s="50" t="s">
        <v>295</v>
      </c>
      <c r="E66" s="50" t="s">
        <v>292</v>
      </c>
      <c r="F66" s="50" t="s">
        <v>293</v>
      </c>
      <c r="G66" s="49" t="s">
        <v>296</v>
      </c>
      <c r="H66" s="49" t="s">
        <v>290</v>
      </c>
      <c r="I66" s="49" t="s">
        <v>297</v>
      </c>
      <c r="J66" s="49" t="s">
        <v>163</v>
      </c>
    </row>
    <row r="67" spans="1:10">
      <c r="A67" s="48" t="s">
        <v>298</v>
      </c>
      <c r="B67" s="24">
        <v>14463557</v>
      </c>
      <c r="C67" s="51">
        <v>500</v>
      </c>
      <c r="D67" s="50" t="s">
        <v>299</v>
      </c>
      <c r="E67" s="50" t="s">
        <v>301</v>
      </c>
      <c r="F67" s="50" t="s">
        <v>300</v>
      </c>
      <c r="G67" s="49" t="s">
        <v>302</v>
      </c>
      <c r="H67" s="49">
        <v>98</v>
      </c>
      <c r="I67" s="49" t="s">
        <v>303</v>
      </c>
      <c r="J67" s="49" t="s">
        <v>209</v>
      </c>
    </row>
    <row r="68" spans="1:10">
      <c r="A68" s="48" t="s">
        <v>304</v>
      </c>
      <c r="B68" s="24">
        <v>22140284</v>
      </c>
      <c r="C68" s="51">
        <v>3500</v>
      </c>
      <c r="D68" s="50" t="s">
        <v>305</v>
      </c>
      <c r="E68" s="50" t="s">
        <v>301</v>
      </c>
      <c r="F68" s="50" t="s">
        <v>300</v>
      </c>
      <c r="G68" s="49" t="s">
        <v>306</v>
      </c>
      <c r="H68" s="49">
        <v>1445</v>
      </c>
      <c r="I68" s="49" t="s">
        <v>209</v>
      </c>
      <c r="J68" s="49" t="s">
        <v>209</v>
      </c>
    </row>
    <row r="69" spans="1:10">
      <c r="A69" s="48" t="s">
        <v>307</v>
      </c>
      <c r="B69" s="24">
        <v>22035018</v>
      </c>
      <c r="C69" s="51">
        <v>3000</v>
      </c>
      <c r="D69" s="50" t="s">
        <v>308</v>
      </c>
      <c r="E69" s="50" t="s">
        <v>301</v>
      </c>
      <c r="F69" s="50" t="s">
        <v>300</v>
      </c>
      <c r="G69" s="49" t="s">
        <v>309</v>
      </c>
      <c r="H69" s="49">
        <v>251</v>
      </c>
      <c r="I69" s="49" t="s">
        <v>274</v>
      </c>
      <c r="J69" s="49" t="s">
        <v>163</v>
      </c>
    </row>
    <row r="70" spans="1:10">
      <c r="A70" s="48" t="s">
        <v>310</v>
      </c>
      <c r="B70" s="24">
        <v>25048749</v>
      </c>
      <c r="C70" s="51">
        <v>7000</v>
      </c>
      <c r="D70" s="50" t="s">
        <v>311</v>
      </c>
      <c r="E70" s="50" t="s">
        <v>301</v>
      </c>
      <c r="F70" s="50" t="s">
        <v>300</v>
      </c>
      <c r="G70" s="49" t="s">
        <v>312</v>
      </c>
      <c r="H70" s="49">
        <v>1171</v>
      </c>
      <c r="I70" s="49" t="s">
        <v>313</v>
      </c>
      <c r="J70" s="49" t="s">
        <v>313</v>
      </c>
    </row>
    <row r="71" spans="1:10">
      <c r="A71" s="48" t="s">
        <v>314</v>
      </c>
      <c r="B71" s="24">
        <v>30325997</v>
      </c>
      <c r="C71" s="51">
        <v>2000</v>
      </c>
      <c r="D71" s="50" t="s">
        <v>315</v>
      </c>
      <c r="E71" s="50" t="s">
        <v>301</v>
      </c>
      <c r="F71" s="50" t="s">
        <v>300</v>
      </c>
      <c r="G71" s="49" t="s">
        <v>316</v>
      </c>
      <c r="H71" s="49">
        <v>43</v>
      </c>
      <c r="I71" s="49" t="s">
        <v>317</v>
      </c>
      <c r="J71" s="49" t="s">
        <v>318</v>
      </c>
    </row>
    <row r="72" spans="1:10">
      <c r="A72" s="48" t="s">
        <v>319</v>
      </c>
      <c r="B72" s="24">
        <v>24991253</v>
      </c>
      <c r="C72" s="51">
        <v>2000</v>
      </c>
      <c r="D72" s="50" t="s">
        <v>320</v>
      </c>
      <c r="E72" s="50" t="s">
        <v>301</v>
      </c>
      <c r="F72" s="50" t="s">
        <v>300</v>
      </c>
      <c r="G72" s="49" t="s">
        <v>321</v>
      </c>
      <c r="H72" s="49">
        <v>1351</v>
      </c>
      <c r="I72" s="49" t="s">
        <v>274</v>
      </c>
      <c r="J72" s="49" t="s">
        <v>318</v>
      </c>
    </row>
    <row r="73" spans="1:10" ht="26.4">
      <c r="A73" s="48" t="s">
        <v>105</v>
      </c>
      <c r="B73" s="24">
        <v>31843161</v>
      </c>
      <c r="C73" s="51">
        <f>126*22.38</f>
        <v>2819.8799999999997</v>
      </c>
      <c r="D73" s="50" t="s">
        <v>322</v>
      </c>
      <c r="E73" s="50" t="s">
        <v>168</v>
      </c>
      <c r="F73" s="50" t="s">
        <v>164</v>
      </c>
      <c r="G73" s="49" t="s">
        <v>323</v>
      </c>
      <c r="H73" s="49">
        <v>22</v>
      </c>
      <c r="I73" t="s">
        <v>146</v>
      </c>
      <c r="J73" s="49" t="s">
        <v>163</v>
      </c>
    </row>
    <row r="74" spans="1:10" ht="26.4">
      <c r="A74" s="48" t="s">
        <v>229</v>
      </c>
      <c r="B74" s="24">
        <v>6699842</v>
      </c>
      <c r="C74" s="51">
        <v>1700</v>
      </c>
      <c r="D74" s="50" t="s">
        <v>324</v>
      </c>
      <c r="E74" s="50" t="s">
        <v>325</v>
      </c>
      <c r="F74" s="58" t="s">
        <v>326</v>
      </c>
      <c r="G74" s="49" t="s">
        <v>232</v>
      </c>
      <c r="H74" s="49">
        <v>130</v>
      </c>
      <c r="I74" t="s">
        <v>199</v>
      </c>
      <c r="J74" s="49" t="s">
        <v>163</v>
      </c>
    </row>
    <row r="75" spans="1:10" ht="26.4">
      <c r="A75" s="48" t="s">
        <v>233</v>
      </c>
      <c r="B75" s="24">
        <v>6699842</v>
      </c>
      <c r="C75" s="51">
        <v>4000</v>
      </c>
      <c r="D75" s="50" t="s">
        <v>327</v>
      </c>
      <c r="E75" s="50" t="s">
        <v>325</v>
      </c>
      <c r="F75" s="58" t="s">
        <v>326</v>
      </c>
      <c r="G75" s="49" t="s">
        <v>237</v>
      </c>
      <c r="H75" s="49">
        <v>973</v>
      </c>
      <c r="I75" s="49" t="s">
        <v>146</v>
      </c>
      <c r="J75" s="49" t="s">
        <v>163</v>
      </c>
    </row>
    <row r="76" spans="1:10" ht="26.4">
      <c r="A76" s="48" t="s">
        <v>229</v>
      </c>
      <c r="B76" s="24">
        <v>6699842</v>
      </c>
      <c r="C76" s="51">
        <v>1700</v>
      </c>
      <c r="D76" s="50" t="s">
        <v>328</v>
      </c>
      <c r="E76" s="50" t="s">
        <v>329</v>
      </c>
      <c r="F76" s="58" t="s">
        <v>330</v>
      </c>
      <c r="G76" s="49" t="s">
        <v>232</v>
      </c>
      <c r="H76" s="49">
        <v>130</v>
      </c>
      <c r="I76" t="s">
        <v>199</v>
      </c>
      <c r="J76" s="49" t="s">
        <v>163</v>
      </c>
    </row>
    <row r="77" spans="1:10" ht="26.4">
      <c r="A77" s="48" t="s">
        <v>229</v>
      </c>
      <c r="B77" s="24">
        <v>6699842</v>
      </c>
      <c r="C77" s="51">
        <v>6000</v>
      </c>
      <c r="D77" s="50" t="s">
        <v>331</v>
      </c>
      <c r="E77" s="50" t="s">
        <v>329</v>
      </c>
      <c r="F77" s="58" t="s">
        <v>330</v>
      </c>
      <c r="G77" s="49" t="s">
        <v>232</v>
      </c>
      <c r="H77" s="49">
        <v>130</v>
      </c>
      <c r="I77" t="s">
        <v>199</v>
      </c>
      <c r="J77" s="49" t="s">
        <v>163</v>
      </c>
    </row>
    <row r="78" spans="1:10" ht="26.4">
      <c r="A78" s="48" t="s">
        <v>229</v>
      </c>
      <c r="B78" s="24">
        <v>6699842</v>
      </c>
      <c r="C78" s="51">
        <v>1600</v>
      </c>
      <c r="D78" s="50" t="s">
        <v>332</v>
      </c>
      <c r="E78" s="50" t="s">
        <v>329</v>
      </c>
      <c r="F78" s="58" t="s">
        <v>330</v>
      </c>
      <c r="G78" s="49" t="s">
        <v>232</v>
      </c>
      <c r="H78" s="49">
        <v>130</v>
      </c>
      <c r="I78" t="s">
        <v>199</v>
      </c>
      <c r="J78" s="49" t="s">
        <v>163</v>
      </c>
    </row>
    <row r="79" spans="1:10" ht="26.4">
      <c r="A79" s="48" t="s">
        <v>285</v>
      </c>
      <c r="B79" s="24">
        <v>17764523</v>
      </c>
      <c r="C79" s="51">
        <v>2500</v>
      </c>
      <c r="D79" s="50" t="s">
        <v>333</v>
      </c>
      <c r="E79" s="50" t="s">
        <v>335</v>
      </c>
      <c r="F79" s="58" t="s">
        <v>334</v>
      </c>
      <c r="G79" s="49" t="s">
        <v>289</v>
      </c>
      <c r="H79" s="49" t="s">
        <v>290</v>
      </c>
      <c r="I79" t="s">
        <v>199</v>
      </c>
      <c r="J79" s="49" t="s">
        <v>163</v>
      </c>
    </row>
    <row r="80" spans="1:10" ht="26.4">
      <c r="A80" s="48" t="s">
        <v>285</v>
      </c>
      <c r="B80" s="24">
        <v>17764523</v>
      </c>
      <c r="C80" s="51">
        <v>2500</v>
      </c>
      <c r="D80" s="50" t="s">
        <v>336</v>
      </c>
      <c r="E80" s="58" t="s">
        <v>337</v>
      </c>
      <c r="F80" s="58" t="s">
        <v>334</v>
      </c>
      <c r="G80" s="49" t="s">
        <v>289</v>
      </c>
      <c r="H80" s="49" t="s">
        <v>290</v>
      </c>
      <c r="I80" t="s">
        <v>199</v>
      </c>
      <c r="J80" s="49" t="s">
        <v>163</v>
      </c>
    </row>
    <row r="81" spans="1:10" ht="26.4">
      <c r="A81" s="48" t="s">
        <v>338</v>
      </c>
      <c r="B81" s="24">
        <v>4623526</v>
      </c>
      <c r="C81" s="51">
        <v>1200</v>
      </c>
      <c r="D81" s="50" t="s">
        <v>339</v>
      </c>
      <c r="E81" s="50" t="s">
        <v>329</v>
      </c>
      <c r="F81" s="58" t="s">
        <v>330</v>
      </c>
      <c r="G81" s="49" t="s">
        <v>213</v>
      </c>
      <c r="H81" s="49">
        <v>55</v>
      </c>
      <c r="I81" t="s">
        <v>199</v>
      </c>
      <c r="J81" s="49" t="s">
        <v>163</v>
      </c>
    </row>
    <row r="82" spans="1:10" ht="26.4">
      <c r="A82" s="48" t="s">
        <v>259</v>
      </c>
      <c r="B82" s="24">
        <v>29204043</v>
      </c>
      <c r="C82" s="51">
        <v>2000</v>
      </c>
      <c r="D82" s="50" t="s">
        <v>258</v>
      </c>
      <c r="E82" s="50" t="s">
        <v>340</v>
      </c>
      <c r="F82" s="58" t="s">
        <v>334</v>
      </c>
      <c r="G82" s="49" t="s">
        <v>260</v>
      </c>
      <c r="H82" s="49">
        <v>995</v>
      </c>
      <c r="I82" t="s">
        <v>199</v>
      </c>
      <c r="J82" s="49" t="s">
        <v>163</v>
      </c>
    </row>
    <row r="83" spans="1:10" ht="26.4">
      <c r="A83" s="48" t="s">
        <v>341</v>
      </c>
      <c r="B83" s="24">
        <v>13191652</v>
      </c>
      <c r="C83" s="51">
        <v>4000</v>
      </c>
      <c r="D83" s="50" t="s">
        <v>342</v>
      </c>
      <c r="E83" s="50" t="s">
        <v>344</v>
      </c>
      <c r="F83" s="58" t="s">
        <v>334</v>
      </c>
      <c r="G83" s="49" t="s">
        <v>343</v>
      </c>
      <c r="H83" s="49">
        <v>104</v>
      </c>
      <c r="I83" s="49" t="s">
        <v>146</v>
      </c>
      <c r="J83" s="49" t="s">
        <v>163</v>
      </c>
    </row>
    <row r="84" spans="1:10" ht="26.4">
      <c r="A84" s="48" t="s">
        <v>265</v>
      </c>
      <c r="B84" s="24">
        <v>17911380</v>
      </c>
      <c r="C84" s="51">
        <v>3500</v>
      </c>
      <c r="D84" s="50" t="s">
        <v>345</v>
      </c>
      <c r="E84" s="50" t="s">
        <v>344</v>
      </c>
      <c r="F84" s="58" t="s">
        <v>334</v>
      </c>
      <c r="G84" s="49" t="s">
        <v>269</v>
      </c>
      <c r="H84" s="49">
        <v>641</v>
      </c>
      <c r="I84" t="s">
        <v>209</v>
      </c>
      <c r="J84" s="49" t="s">
        <v>209</v>
      </c>
    </row>
    <row r="85" spans="1:10" ht="26.4">
      <c r="A85" s="48" t="s">
        <v>346</v>
      </c>
      <c r="B85" s="24">
        <v>12135561</v>
      </c>
      <c r="C85" s="51">
        <v>1200</v>
      </c>
      <c r="D85" s="50" t="s">
        <v>347</v>
      </c>
      <c r="E85" s="50" t="s">
        <v>344</v>
      </c>
      <c r="F85" s="58" t="s">
        <v>334</v>
      </c>
      <c r="G85" s="49" t="s">
        <v>348</v>
      </c>
      <c r="H85" s="49" t="s">
        <v>148</v>
      </c>
      <c r="I85" t="s">
        <v>349</v>
      </c>
      <c r="J85" s="49" t="s">
        <v>318</v>
      </c>
    </row>
    <row r="86" spans="1:10" ht="26.4">
      <c r="A86" s="48" t="s">
        <v>285</v>
      </c>
      <c r="B86" s="24">
        <v>17764523</v>
      </c>
      <c r="C86" s="51">
        <v>6000</v>
      </c>
      <c r="D86" s="50" t="s">
        <v>350</v>
      </c>
      <c r="E86" s="58" t="s">
        <v>351</v>
      </c>
      <c r="F86" s="58" t="s">
        <v>334</v>
      </c>
      <c r="G86" s="49" t="s">
        <v>289</v>
      </c>
      <c r="H86" s="49" t="s">
        <v>290</v>
      </c>
      <c r="I86" t="s">
        <v>199</v>
      </c>
      <c r="J86" s="49" t="s">
        <v>163</v>
      </c>
    </row>
    <row r="87" spans="1:10" ht="26.4">
      <c r="A87" s="55" t="s">
        <v>352</v>
      </c>
      <c r="B87" s="56">
        <v>35654485</v>
      </c>
      <c r="C87" s="59">
        <v>1500</v>
      </c>
      <c r="D87" s="50" t="s">
        <v>353</v>
      </c>
      <c r="E87" t="s">
        <v>354</v>
      </c>
      <c r="F87" s="58" t="s">
        <v>334</v>
      </c>
      <c r="G87" s="49" t="s">
        <v>355</v>
      </c>
      <c r="H87" t="s">
        <v>148</v>
      </c>
      <c r="I87" t="s">
        <v>297</v>
      </c>
      <c r="J87" s="49" t="s">
        <v>318</v>
      </c>
    </row>
    <row r="88" spans="1:10" ht="26.4">
      <c r="A88" s="55" t="s">
        <v>356</v>
      </c>
      <c r="B88" s="56">
        <v>29204044</v>
      </c>
      <c r="C88" s="59">
        <v>1500</v>
      </c>
      <c r="D88" s="50" t="s">
        <v>357</v>
      </c>
      <c r="E88" s="49" t="s">
        <v>358</v>
      </c>
      <c r="F88" s="58" t="s">
        <v>334</v>
      </c>
      <c r="G88" s="49" t="s">
        <v>260</v>
      </c>
      <c r="H88">
        <v>995</v>
      </c>
      <c r="I88" s="49" t="s">
        <v>199</v>
      </c>
      <c r="J88" s="49" t="s">
        <v>318</v>
      </c>
    </row>
    <row r="89" spans="1:10" ht="26.4">
      <c r="A89" s="48" t="s">
        <v>285</v>
      </c>
      <c r="B89" s="24">
        <v>17764523</v>
      </c>
      <c r="C89" s="51">
        <v>2000</v>
      </c>
      <c r="D89" s="50" t="s">
        <v>359</v>
      </c>
      <c r="E89" s="58" t="s">
        <v>360</v>
      </c>
      <c r="F89" s="58" t="s">
        <v>334</v>
      </c>
      <c r="G89" s="49" t="s">
        <v>289</v>
      </c>
      <c r="H89" s="49" t="s">
        <v>290</v>
      </c>
      <c r="I89" t="s">
        <v>199</v>
      </c>
      <c r="J89" s="49" t="s">
        <v>163</v>
      </c>
    </row>
    <row r="90" spans="1:10" ht="26.4">
      <c r="A90" s="48" t="s">
        <v>98</v>
      </c>
      <c r="B90" s="24">
        <v>29069024</v>
      </c>
      <c r="C90" s="51">
        <f>91*22.38</f>
        <v>2036.58</v>
      </c>
      <c r="D90" s="50" t="s">
        <v>364</v>
      </c>
      <c r="E90" s="58" t="s">
        <v>362</v>
      </c>
      <c r="F90" s="50" t="s">
        <v>164</v>
      </c>
      <c r="G90" s="49" t="s">
        <v>363</v>
      </c>
      <c r="H90" s="49" t="s">
        <v>148</v>
      </c>
      <c r="I90" t="s">
        <v>146</v>
      </c>
      <c r="J90" s="49" t="s">
        <v>163</v>
      </c>
    </row>
    <row r="91" spans="1:10" ht="26.4">
      <c r="A91" s="48" t="s">
        <v>102</v>
      </c>
      <c r="B91" s="24">
        <v>24939938</v>
      </c>
      <c r="C91" s="51">
        <f>91*22.38</f>
        <v>2036.58</v>
      </c>
      <c r="D91" s="50" t="s">
        <v>364</v>
      </c>
      <c r="E91" s="58" t="s">
        <v>362</v>
      </c>
      <c r="F91" s="50" t="s">
        <v>164</v>
      </c>
      <c r="G91" s="49" t="s">
        <v>162</v>
      </c>
      <c r="H91" s="49" t="s">
        <v>148</v>
      </c>
      <c r="I91" t="s">
        <v>146</v>
      </c>
      <c r="J91" s="49" t="s">
        <v>163</v>
      </c>
    </row>
    <row r="92" spans="1:10" ht="26.4">
      <c r="A92" s="48" t="s">
        <v>140</v>
      </c>
      <c r="B92" s="24">
        <v>32888635</v>
      </c>
      <c r="C92" s="51">
        <f>66*22.38</f>
        <v>1477.08</v>
      </c>
      <c r="D92" s="50" t="s">
        <v>365</v>
      </c>
      <c r="E92" s="58" t="s">
        <v>362</v>
      </c>
      <c r="F92" s="50" t="s">
        <v>164</v>
      </c>
      <c r="G92" s="49" t="s">
        <v>162</v>
      </c>
      <c r="H92" s="49" t="s">
        <v>148</v>
      </c>
      <c r="I92" t="s">
        <v>146</v>
      </c>
      <c r="J92" s="49" t="s">
        <v>163</v>
      </c>
    </row>
    <row r="93" spans="1:10" ht="26.4">
      <c r="A93" s="48" t="s">
        <v>366</v>
      </c>
      <c r="B93" s="24">
        <v>34274622</v>
      </c>
      <c r="C93" s="51">
        <f>92*22.38</f>
        <v>2058.96</v>
      </c>
      <c r="D93" s="50" t="s">
        <v>361</v>
      </c>
      <c r="E93" s="58" t="s">
        <v>362</v>
      </c>
      <c r="F93" s="50" t="s">
        <v>164</v>
      </c>
      <c r="G93" s="49" t="s">
        <v>162</v>
      </c>
      <c r="H93" s="49" t="s">
        <v>148</v>
      </c>
      <c r="I93" t="s">
        <v>146</v>
      </c>
      <c r="J93" s="49" t="s">
        <v>163</v>
      </c>
    </row>
    <row r="94" spans="1:10" ht="26.4">
      <c r="A94" s="48" t="s">
        <v>103</v>
      </c>
      <c r="B94" s="24">
        <v>24221323</v>
      </c>
      <c r="C94" s="51">
        <f>95*22.38</f>
        <v>2126.1</v>
      </c>
      <c r="D94" s="50" t="s">
        <v>367</v>
      </c>
      <c r="E94" s="58" t="s">
        <v>362</v>
      </c>
      <c r="F94" s="50" t="s">
        <v>164</v>
      </c>
      <c r="G94" s="49" t="s">
        <v>162</v>
      </c>
      <c r="H94" s="49" t="s">
        <v>148</v>
      </c>
      <c r="I94" t="s">
        <v>146</v>
      </c>
      <c r="J94" s="49" t="s">
        <v>163</v>
      </c>
    </row>
    <row r="95" spans="1:10" ht="26.4">
      <c r="A95" s="48" t="s">
        <v>139</v>
      </c>
      <c r="B95" s="24">
        <v>36795955</v>
      </c>
      <c r="C95" s="51">
        <f>95*22.38</f>
        <v>2126.1</v>
      </c>
      <c r="D95" s="50" t="s">
        <v>367</v>
      </c>
      <c r="E95" s="58" t="s">
        <v>362</v>
      </c>
      <c r="F95" s="50" t="s">
        <v>164</v>
      </c>
      <c r="G95" s="49" t="s">
        <v>162</v>
      </c>
      <c r="H95" s="49" t="s">
        <v>148</v>
      </c>
      <c r="I95" t="s">
        <v>146</v>
      </c>
      <c r="J95" s="49" t="s">
        <v>163</v>
      </c>
    </row>
    <row r="96" spans="1:10" ht="26.4">
      <c r="A96" s="48" t="s">
        <v>99</v>
      </c>
      <c r="B96" s="24">
        <v>18595248</v>
      </c>
      <c r="C96" s="51">
        <f>91*22.38</f>
        <v>2036.58</v>
      </c>
      <c r="D96" s="50" t="s">
        <v>364</v>
      </c>
      <c r="E96" s="58" t="s">
        <v>362</v>
      </c>
      <c r="F96" s="50" t="s">
        <v>164</v>
      </c>
      <c r="G96" s="49" t="s">
        <v>162</v>
      </c>
      <c r="H96" s="49" t="s">
        <v>148</v>
      </c>
      <c r="I96" t="s">
        <v>146</v>
      </c>
      <c r="J96" s="49" t="s">
        <v>163</v>
      </c>
    </row>
    <row r="97" spans="1:10" ht="26.4">
      <c r="A97" s="48" t="s">
        <v>369</v>
      </c>
      <c r="B97" s="24">
        <v>36986932</v>
      </c>
      <c r="C97" s="51">
        <f>93*22.38</f>
        <v>2081.3399999999997</v>
      </c>
      <c r="D97" s="50" t="s">
        <v>368</v>
      </c>
      <c r="E97" s="58" t="s">
        <v>362</v>
      </c>
      <c r="F97" s="50" t="s">
        <v>164</v>
      </c>
      <c r="G97" s="49" t="s">
        <v>162</v>
      </c>
      <c r="H97" s="49" t="s">
        <v>148</v>
      </c>
      <c r="I97" t="s">
        <v>146</v>
      </c>
      <c r="J97" s="49" t="s">
        <v>163</v>
      </c>
    </row>
    <row r="98" spans="1:10" ht="26.4">
      <c r="A98" s="55" t="s">
        <v>200</v>
      </c>
      <c r="B98" s="56">
        <v>33017391</v>
      </c>
      <c r="C98" s="60">
        <v>1500</v>
      </c>
      <c r="D98" s="50" t="s">
        <v>201</v>
      </c>
      <c r="E98" s="50" t="s">
        <v>202</v>
      </c>
      <c r="F98" s="50" t="s">
        <v>168</v>
      </c>
      <c r="G98" s="57" t="s">
        <v>203</v>
      </c>
      <c r="H98" s="57" t="s">
        <v>148</v>
      </c>
      <c r="I98" s="57" t="s">
        <v>204</v>
      </c>
      <c r="J98" s="57" t="s">
        <v>163</v>
      </c>
    </row>
    <row r="99" spans="1:10" ht="26.4">
      <c r="A99" s="55" t="s">
        <v>370</v>
      </c>
      <c r="B99" s="56">
        <v>29860938</v>
      </c>
      <c r="C99" s="60">
        <v>42000</v>
      </c>
      <c r="D99" s="57" t="s">
        <v>371</v>
      </c>
      <c r="E99" s="50" t="s">
        <v>372</v>
      </c>
      <c r="F99" s="50" t="s">
        <v>168</v>
      </c>
      <c r="G99" s="57" t="s">
        <v>373</v>
      </c>
      <c r="H99">
        <v>823</v>
      </c>
      <c r="I99" s="57" t="s">
        <v>199</v>
      </c>
      <c r="J99" s="57" t="s">
        <v>163</v>
      </c>
    </row>
    <row r="100" spans="1:10" ht="26.4">
      <c r="A100" s="55" t="s">
        <v>374</v>
      </c>
      <c r="B100" s="56">
        <v>20534533</v>
      </c>
      <c r="C100" s="60">
        <v>1200</v>
      </c>
      <c r="D100" s="57" t="s">
        <v>375</v>
      </c>
      <c r="E100" s="58" t="s">
        <v>376</v>
      </c>
      <c r="F100" s="50" t="s">
        <v>377</v>
      </c>
      <c r="G100" s="49" t="s">
        <v>378</v>
      </c>
      <c r="H100" t="s">
        <v>148</v>
      </c>
      <c r="I100" t="s">
        <v>146</v>
      </c>
      <c r="J100" s="49" t="s">
        <v>318</v>
      </c>
    </row>
    <row r="101" spans="1:10" ht="26.4">
      <c r="A101" s="48" t="s">
        <v>379</v>
      </c>
      <c r="B101" s="24">
        <v>24259703</v>
      </c>
      <c r="C101" s="51">
        <v>1800</v>
      </c>
      <c r="D101" s="50" t="s">
        <v>380</v>
      </c>
      <c r="E101" s="50" t="s">
        <v>381</v>
      </c>
      <c r="F101" s="50" t="s">
        <v>164</v>
      </c>
      <c r="G101" s="49" t="s">
        <v>382</v>
      </c>
      <c r="H101" s="49" t="s">
        <v>148</v>
      </c>
      <c r="I101" t="s">
        <v>383</v>
      </c>
      <c r="J101" s="49" t="s">
        <v>318</v>
      </c>
    </row>
    <row r="102" spans="1:10" ht="26.4">
      <c r="A102" s="48" t="s">
        <v>229</v>
      </c>
      <c r="B102" s="24">
        <v>6699842</v>
      </c>
      <c r="C102" s="51">
        <f>1600+1800</f>
        <v>3400</v>
      </c>
      <c r="D102" s="50" t="s">
        <v>386</v>
      </c>
      <c r="E102" s="50" t="s">
        <v>384</v>
      </c>
      <c r="F102" s="50" t="s">
        <v>385</v>
      </c>
      <c r="G102" s="49" t="s">
        <v>232</v>
      </c>
      <c r="H102" s="49">
        <v>130</v>
      </c>
      <c r="I102" t="s">
        <v>199</v>
      </c>
      <c r="J102" s="49" t="s">
        <v>163</v>
      </c>
    </row>
    <row r="103" spans="1:10" ht="26.4">
      <c r="A103" s="48" t="s">
        <v>387</v>
      </c>
      <c r="B103" s="24">
        <v>22258748</v>
      </c>
      <c r="C103" s="51">
        <v>1700</v>
      </c>
      <c r="D103" s="50" t="s">
        <v>388</v>
      </c>
      <c r="E103" s="50" t="s">
        <v>381</v>
      </c>
      <c r="F103" s="50" t="s">
        <v>164</v>
      </c>
      <c r="G103" s="49" t="s">
        <v>389</v>
      </c>
      <c r="H103" s="49" t="s">
        <v>148</v>
      </c>
      <c r="I103" t="s">
        <v>390</v>
      </c>
      <c r="J103" s="49" t="s">
        <v>209</v>
      </c>
    </row>
    <row r="104" spans="1:10" ht="26.4">
      <c r="A104" s="48" t="s">
        <v>229</v>
      </c>
      <c r="B104" s="24">
        <v>6699842</v>
      </c>
      <c r="C104" s="51">
        <v>1600</v>
      </c>
      <c r="D104" s="50" t="s">
        <v>391</v>
      </c>
      <c r="E104" s="50" t="s">
        <v>381</v>
      </c>
      <c r="F104" s="50" t="s">
        <v>164</v>
      </c>
      <c r="G104" s="49" t="s">
        <v>232</v>
      </c>
      <c r="H104" s="49">
        <v>130</v>
      </c>
      <c r="I104" t="s">
        <v>199</v>
      </c>
      <c r="J104" s="49" t="s">
        <v>163</v>
      </c>
    </row>
    <row r="105" spans="1:10" ht="26.4">
      <c r="A105" s="48" t="s">
        <v>346</v>
      </c>
      <c r="B105" s="24">
        <v>12135561</v>
      </c>
      <c r="C105" s="51">
        <v>2000</v>
      </c>
      <c r="D105" s="50" t="s">
        <v>392</v>
      </c>
      <c r="E105" s="50" t="s">
        <v>381</v>
      </c>
      <c r="F105" s="50" t="s">
        <v>164</v>
      </c>
      <c r="G105" s="49" t="s">
        <v>348</v>
      </c>
      <c r="H105" s="49" t="s">
        <v>148</v>
      </c>
      <c r="I105" t="s">
        <v>349</v>
      </c>
      <c r="J105" s="49" t="s">
        <v>318</v>
      </c>
    </row>
    <row r="106" spans="1:10" ht="26.4">
      <c r="A106" s="48" t="s">
        <v>285</v>
      </c>
      <c r="B106" s="24">
        <v>17764523</v>
      </c>
      <c r="C106" s="51">
        <v>5500</v>
      </c>
      <c r="D106" s="50" t="s">
        <v>393</v>
      </c>
      <c r="E106" s="50" t="s">
        <v>381</v>
      </c>
      <c r="F106" s="50" t="s">
        <v>164</v>
      </c>
      <c r="G106" s="49" t="s">
        <v>289</v>
      </c>
      <c r="H106" s="49" t="s">
        <v>290</v>
      </c>
      <c r="I106" t="s">
        <v>199</v>
      </c>
      <c r="J106" s="49" t="s">
        <v>163</v>
      </c>
    </row>
    <row r="107" spans="1:10" ht="26.4">
      <c r="A107" s="48" t="s">
        <v>394</v>
      </c>
      <c r="B107" s="24">
        <v>13332218</v>
      </c>
      <c r="C107" s="51">
        <v>1800</v>
      </c>
      <c r="D107" s="50" t="s">
        <v>395</v>
      </c>
      <c r="E107" s="50" t="s">
        <v>396</v>
      </c>
      <c r="F107" s="50" t="s">
        <v>164</v>
      </c>
      <c r="G107" s="49" t="s">
        <v>397</v>
      </c>
      <c r="H107" s="49">
        <v>54</v>
      </c>
      <c r="I107" t="s">
        <v>398</v>
      </c>
      <c r="J107" s="49" t="s">
        <v>209</v>
      </c>
    </row>
    <row r="108" spans="1:10" ht="26.4">
      <c r="A108" s="48" t="s">
        <v>399</v>
      </c>
      <c r="B108" s="24">
        <v>22687540</v>
      </c>
      <c r="C108" s="51">
        <v>1800</v>
      </c>
      <c r="D108" s="50" t="s">
        <v>400</v>
      </c>
      <c r="E108" s="50" t="s">
        <v>396</v>
      </c>
      <c r="F108" s="50" t="s">
        <v>164</v>
      </c>
      <c r="G108" s="49" t="s">
        <v>321</v>
      </c>
      <c r="H108" s="49" t="s">
        <v>148</v>
      </c>
      <c r="I108" s="49" t="s">
        <v>401</v>
      </c>
      <c r="J108" s="49" t="s">
        <v>247</v>
      </c>
    </row>
    <row r="109" spans="1:10" ht="26.4">
      <c r="A109" s="48" t="s">
        <v>405</v>
      </c>
      <c r="B109" s="24">
        <v>26264690</v>
      </c>
      <c r="C109" s="51">
        <v>3600</v>
      </c>
      <c r="D109" s="50" t="s">
        <v>402</v>
      </c>
      <c r="E109" s="50" t="s">
        <v>403</v>
      </c>
      <c r="F109" s="50" t="s">
        <v>164</v>
      </c>
      <c r="G109" s="49" t="s">
        <v>404</v>
      </c>
      <c r="H109" s="49">
        <v>466</v>
      </c>
      <c r="I109" s="49" t="s">
        <v>209</v>
      </c>
      <c r="J109" s="49" t="s">
        <v>209</v>
      </c>
    </row>
    <row r="110" spans="1:10" ht="26.4">
      <c r="A110" s="48" t="s">
        <v>406</v>
      </c>
      <c r="B110" s="24">
        <v>32037121</v>
      </c>
      <c r="C110" s="51">
        <v>2500</v>
      </c>
      <c r="D110" s="50" t="s">
        <v>407</v>
      </c>
      <c r="E110" s="50" t="s">
        <v>403</v>
      </c>
      <c r="F110" s="50" t="s">
        <v>164</v>
      </c>
      <c r="G110" s="49" t="s">
        <v>408</v>
      </c>
      <c r="H110" s="49">
        <v>920</v>
      </c>
      <c r="I110" s="49" t="s">
        <v>409</v>
      </c>
      <c r="J110" s="49" t="s">
        <v>318</v>
      </c>
    </row>
    <row r="111" spans="1:10" ht="26.4">
      <c r="A111" s="48" t="s">
        <v>410</v>
      </c>
      <c r="B111" s="24">
        <v>13268075</v>
      </c>
      <c r="C111" s="51">
        <v>800</v>
      </c>
      <c r="D111" s="50" t="s">
        <v>411</v>
      </c>
      <c r="E111" s="50" t="s">
        <v>412</v>
      </c>
      <c r="F111" s="50" t="s">
        <v>164</v>
      </c>
      <c r="G111" s="49" t="s">
        <v>413</v>
      </c>
      <c r="H111" s="49">
        <v>836</v>
      </c>
      <c r="I111" s="49" t="s">
        <v>414</v>
      </c>
      <c r="J111" s="49" t="s">
        <v>318</v>
      </c>
    </row>
    <row r="112" spans="1:10" ht="26.4">
      <c r="A112" s="48" t="s">
        <v>415</v>
      </c>
      <c r="B112" s="24">
        <v>25850841</v>
      </c>
      <c r="C112" s="51">
        <v>2000</v>
      </c>
      <c r="D112" s="50" t="s">
        <v>416</v>
      </c>
      <c r="E112" s="58" t="s">
        <v>337</v>
      </c>
      <c r="F112" s="50" t="s">
        <v>164</v>
      </c>
      <c r="G112" s="49" t="s">
        <v>417</v>
      </c>
      <c r="H112" s="49">
        <v>148</v>
      </c>
      <c r="I112" s="49" t="s">
        <v>383</v>
      </c>
      <c r="J112" s="49" t="s">
        <v>318</v>
      </c>
    </row>
    <row r="113" spans="1:10" ht="26.4">
      <c r="A113" s="55" t="s">
        <v>200</v>
      </c>
      <c r="B113" s="56">
        <v>33017391</v>
      </c>
      <c r="C113" s="61">
        <v>300</v>
      </c>
      <c r="D113" s="50" t="s">
        <v>418</v>
      </c>
      <c r="E113" s="58" t="s">
        <v>337</v>
      </c>
      <c r="F113" s="50" t="s">
        <v>168</v>
      </c>
      <c r="G113" s="57" t="s">
        <v>203</v>
      </c>
      <c r="H113" s="57" t="s">
        <v>148</v>
      </c>
      <c r="I113" s="57" t="s">
        <v>204</v>
      </c>
      <c r="J113" s="57" t="s">
        <v>419</v>
      </c>
    </row>
    <row r="114" spans="1:10" ht="26.4">
      <c r="A114" s="48" t="s">
        <v>420</v>
      </c>
      <c r="B114" s="24">
        <v>29838132</v>
      </c>
      <c r="C114" s="51">
        <v>1800</v>
      </c>
      <c r="D114" s="50" t="s">
        <v>421</v>
      </c>
      <c r="E114" s="50" t="s">
        <v>422</v>
      </c>
      <c r="F114" s="50" t="s">
        <v>164</v>
      </c>
      <c r="G114" s="49" t="s">
        <v>423</v>
      </c>
      <c r="H114" s="49" t="s">
        <v>148</v>
      </c>
      <c r="I114" s="49" t="s">
        <v>424</v>
      </c>
      <c r="J114" s="49" t="s">
        <v>318</v>
      </c>
    </row>
    <row r="115" spans="1:10" ht="26.4">
      <c r="A115" s="48" t="s">
        <v>425</v>
      </c>
      <c r="B115" s="24">
        <v>8652546</v>
      </c>
      <c r="C115" s="51">
        <v>500</v>
      </c>
      <c r="D115" s="50" t="s">
        <v>426</v>
      </c>
      <c r="E115" s="50" t="s">
        <v>427</v>
      </c>
      <c r="F115" s="50" t="s">
        <v>164</v>
      </c>
      <c r="G115" s="49" t="s">
        <v>423</v>
      </c>
      <c r="H115" s="49" t="s">
        <v>148</v>
      </c>
      <c r="I115" s="49" t="s">
        <v>424</v>
      </c>
      <c r="J115" s="49" t="s">
        <v>318</v>
      </c>
    </row>
    <row r="116" spans="1:10" ht="26.4">
      <c r="A116" s="48" t="s">
        <v>428</v>
      </c>
      <c r="B116" s="24">
        <v>12811020</v>
      </c>
      <c r="C116" s="51">
        <v>3000</v>
      </c>
      <c r="D116" s="50" t="s">
        <v>429</v>
      </c>
      <c r="E116" s="50" t="s">
        <v>422</v>
      </c>
      <c r="F116" s="50" t="s">
        <v>164</v>
      </c>
      <c r="G116" s="49" t="s">
        <v>430</v>
      </c>
      <c r="H116" s="49">
        <v>1989</v>
      </c>
      <c r="I116" s="49" t="s">
        <v>431</v>
      </c>
      <c r="J116" s="49" t="s">
        <v>318</v>
      </c>
    </row>
    <row r="117" spans="1:10" ht="26.4">
      <c r="A117" s="48" t="s">
        <v>432</v>
      </c>
      <c r="B117" s="24">
        <v>24096888</v>
      </c>
      <c r="C117" s="51">
        <v>1000</v>
      </c>
      <c r="D117" s="50" t="s">
        <v>433</v>
      </c>
      <c r="E117" s="50" t="s">
        <v>422</v>
      </c>
      <c r="F117" s="50" t="s">
        <v>164</v>
      </c>
      <c r="G117" s="49" t="s">
        <v>434</v>
      </c>
      <c r="H117" s="49">
        <v>355</v>
      </c>
      <c r="I117" s="49" t="s">
        <v>146</v>
      </c>
      <c r="J117" s="49" t="s">
        <v>318</v>
      </c>
    </row>
    <row r="118" spans="1:10" ht="26.4">
      <c r="A118" s="48" t="s">
        <v>435</v>
      </c>
      <c r="B118" s="24">
        <v>10056699</v>
      </c>
      <c r="C118" s="51">
        <v>800</v>
      </c>
      <c r="D118" s="50" t="s">
        <v>426</v>
      </c>
      <c r="E118" s="50" t="s">
        <v>427</v>
      </c>
      <c r="F118" s="50" t="s">
        <v>164</v>
      </c>
      <c r="G118" s="49" t="s">
        <v>436</v>
      </c>
      <c r="H118" s="49">
        <v>821</v>
      </c>
      <c r="I118" s="49" t="s">
        <v>199</v>
      </c>
      <c r="J118" s="49" t="s">
        <v>318</v>
      </c>
    </row>
    <row r="119" spans="1:10" ht="26.4">
      <c r="A119" s="48" t="s">
        <v>253</v>
      </c>
      <c r="B119" s="24">
        <v>14411009</v>
      </c>
      <c r="C119" s="51">
        <v>2000</v>
      </c>
      <c r="D119" s="50" t="s">
        <v>437</v>
      </c>
      <c r="E119" s="50" t="s">
        <v>422</v>
      </c>
      <c r="F119" s="50" t="s">
        <v>164</v>
      </c>
      <c r="G119" s="49" t="s">
        <v>257</v>
      </c>
      <c r="H119" s="49">
        <v>1000</v>
      </c>
      <c r="I119" s="49" t="s">
        <v>199</v>
      </c>
      <c r="J119" s="49" t="s">
        <v>318</v>
      </c>
    </row>
    <row r="120" spans="1:10" ht="26.4">
      <c r="A120" s="48" t="s">
        <v>366</v>
      </c>
      <c r="B120" s="24">
        <v>34274622</v>
      </c>
      <c r="C120" s="51">
        <f>235*22.38</f>
        <v>5259.3</v>
      </c>
      <c r="D120" s="50" t="s">
        <v>443</v>
      </c>
      <c r="E120" s="58" t="s">
        <v>362</v>
      </c>
      <c r="F120" s="50" t="s">
        <v>164</v>
      </c>
      <c r="G120" s="49" t="s">
        <v>162</v>
      </c>
      <c r="H120" s="49" t="s">
        <v>148</v>
      </c>
      <c r="I120" t="s">
        <v>146</v>
      </c>
      <c r="J120" s="49" t="s">
        <v>163</v>
      </c>
    </row>
    <row r="121" spans="1:10" ht="26.4">
      <c r="A121" s="48" t="s">
        <v>139</v>
      </c>
      <c r="B121" s="24">
        <v>36795955</v>
      </c>
      <c r="C121" s="51">
        <f>226*22.38</f>
        <v>5057.88</v>
      </c>
      <c r="D121" s="50" t="s">
        <v>444</v>
      </c>
      <c r="E121" s="50" t="s">
        <v>168</v>
      </c>
      <c r="F121" s="50" t="s">
        <v>164</v>
      </c>
      <c r="G121" s="49" t="s">
        <v>162</v>
      </c>
      <c r="H121" s="49" t="s">
        <v>148</v>
      </c>
      <c r="I121" t="s">
        <v>146</v>
      </c>
      <c r="J121" s="49" t="s">
        <v>163</v>
      </c>
    </row>
    <row r="122" spans="1:10" ht="26.4">
      <c r="A122" s="48" t="s">
        <v>102</v>
      </c>
      <c r="B122" s="24">
        <v>24939938</v>
      </c>
      <c r="C122" s="51">
        <f>226*22.38</f>
        <v>5057.88</v>
      </c>
      <c r="D122" s="50" t="s">
        <v>444</v>
      </c>
      <c r="E122" s="58" t="s">
        <v>362</v>
      </c>
      <c r="F122" s="50" t="s">
        <v>164</v>
      </c>
      <c r="G122" s="49" t="s">
        <v>162</v>
      </c>
      <c r="H122" s="49" t="s">
        <v>148</v>
      </c>
      <c r="I122" t="s">
        <v>146</v>
      </c>
      <c r="J122" s="49" t="s">
        <v>163</v>
      </c>
    </row>
    <row r="123" spans="1:10" ht="26.4">
      <c r="A123" s="48" t="s">
        <v>98</v>
      </c>
      <c r="B123" s="24">
        <v>29069024</v>
      </c>
      <c r="C123" s="51">
        <f t="shared" ref="C123:C126" si="0">226*22.38</f>
        <v>5057.88</v>
      </c>
      <c r="D123" s="50" t="s">
        <v>444</v>
      </c>
      <c r="E123" s="50" t="s">
        <v>168</v>
      </c>
      <c r="F123" s="50" t="s">
        <v>164</v>
      </c>
      <c r="G123" s="49" t="s">
        <v>162</v>
      </c>
      <c r="H123" s="49" t="s">
        <v>148</v>
      </c>
      <c r="I123" t="s">
        <v>146</v>
      </c>
      <c r="J123" s="49" t="s">
        <v>163</v>
      </c>
    </row>
    <row r="124" spans="1:10" ht="26.4">
      <c r="A124" s="48" t="s">
        <v>99</v>
      </c>
      <c r="B124" s="24">
        <v>18595248</v>
      </c>
      <c r="C124" s="51">
        <f t="shared" si="0"/>
        <v>5057.88</v>
      </c>
      <c r="D124" s="50" t="s">
        <v>444</v>
      </c>
      <c r="E124" s="50" t="s">
        <v>168</v>
      </c>
      <c r="F124" s="50" t="s">
        <v>164</v>
      </c>
      <c r="G124" s="49" t="s">
        <v>162</v>
      </c>
      <c r="H124" s="49" t="s">
        <v>148</v>
      </c>
      <c r="I124" t="s">
        <v>146</v>
      </c>
      <c r="J124" s="49" t="s">
        <v>163</v>
      </c>
    </row>
    <row r="125" spans="1:10" ht="26.4">
      <c r="A125" s="48" t="s">
        <v>438</v>
      </c>
      <c r="B125" s="24">
        <v>36986932</v>
      </c>
      <c r="C125" s="51">
        <f t="shared" si="0"/>
        <v>5057.88</v>
      </c>
      <c r="D125" s="50" t="s">
        <v>444</v>
      </c>
      <c r="E125" s="58" t="s">
        <v>362</v>
      </c>
      <c r="F125" s="50" t="s">
        <v>164</v>
      </c>
      <c r="G125" s="49" t="s">
        <v>162</v>
      </c>
      <c r="H125" s="49" t="s">
        <v>148</v>
      </c>
      <c r="I125" t="s">
        <v>146</v>
      </c>
      <c r="J125" s="49" t="s">
        <v>163</v>
      </c>
    </row>
    <row r="126" spans="1:10" ht="26.4">
      <c r="A126" s="48" t="s">
        <v>103</v>
      </c>
      <c r="B126" s="24">
        <v>24221323</v>
      </c>
      <c r="C126" s="51">
        <f t="shared" si="0"/>
        <v>5057.88</v>
      </c>
      <c r="D126" s="50" t="s">
        <v>444</v>
      </c>
      <c r="E126" s="50" t="s">
        <v>168</v>
      </c>
      <c r="F126" s="50" t="s">
        <v>164</v>
      </c>
      <c r="G126" s="49" t="s">
        <v>162</v>
      </c>
      <c r="H126" s="49" t="s">
        <v>148</v>
      </c>
      <c r="I126" t="s">
        <v>146</v>
      </c>
      <c r="J126" s="49" t="s">
        <v>163</v>
      </c>
    </row>
    <row r="127" spans="1:10" ht="26.4">
      <c r="A127" s="48" t="s">
        <v>140</v>
      </c>
      <c r="B127" s="24">
        <v>32888635</v>
      </c>
      <c r="C127" s="51">
        <f>27*22.38*6</f>
        <v>3625.56</v>
      </c>
      <c r="D127" s="50" t="s">
        <v>440</v>
      </c>
      <c r="E127" s="58" t="s">
        <v>362</v>
      </c>
      <c r="F127" s="50" t="s">
        <v>164</v>
      </c>
      <c r="G127" s="49" t="s">
        <v>162</v>
      </c>
      <c r="H127" s="49" t="s">
        <v>148</v>
      </c>
      <c r="I127" t="s">
        <v>146</v>
      </c>
      <c r="J127" s="49" t="s">
        <v>163</v>
      </c>
    </row>
    <row r="128" spans="1:10" ht="26.4">
      <c r="A128" s="48" t="s">
        <v>441</v>
      </c>
      <c r="B128" s="24">
        <v>16099622</v>
      </c>
      <c r="C128" s="51">
        <v>4500</v>
      </c>
      <c r="D128" s="50" t="s">
        <v>442</v>
      </c>
      <c r="E128" s="58" t="s">
        <v>362</v>
      </c>
      <c r="F128" s="50" t="s">
        <v>164</v>
      </c>
      <c r="G128" s="49" t="s">
        <v>162</v>
      </c>
      <c r="H128" s="49" t="s">
        <v>148</v>
      </c>
      <c r="I128" t="s">
        <v>146</v>
      </c>
      <c r="J128" s="49" t="s">
        <v>163</v>
      </c>
    </row>
    <row r="129" spans="1:10" ht="26.4">
      <c r="A129" s="48" t="s">
        <v>261</v>
      </c>
      <c r="B129" s="24">
        <v>8652547</v>
      </c>
      <c r="C129" s="51">
        <v>600</v>
      </c>
      <c r="D129" s="50" t="s">
        <v>445</v>
      </c>
      <c r="E129" s="50" t="s">
        <v>446</v>
      </c>
      <c r="F129" s="50" t="s">
        <v>164</v>
      </c>
      <c r="G129" s="49" t="s">
        <v>162</v>
      </c>
      <c r="H129" s="49">
        <v>0</v>
      </c>
      <c r="I129" t="s">
        <v>263</v>
      </c>
      <c r="J129" s="49" t="s">
        <v>163</v>
      </c>
    </row>
    <row r="130" spans="1:10" ht="26.4">
      <c r="A130" s="48" t="s">
        <v>447</v>
      </c>
      <c r="B130" s="24">
        <v>12334611</v>
      </c>
      <c r="C130" s="51">
        <v>2000</v>
      </c>
      <c r="D130" s="50" t="s">
        <v>448</v>
      </c>
      <c r="E130" s="50" t="s">
        <v>449</v>
      </c>
      <c r="F130" s="50" t="s">
        <v>164</v>
      </c>
      <c r="G130" s="49" t="s">
        <v>450</v>
      </c>
      <c r="H130" s="49">
        <v>7811</v>
      </c>
      <c r="I130" s="49" t="s">
        <v>451</v>
      </c>
      <c r="J130" s="49" t="s">
        <v>163</v>
      </c>
    </row>
    <row r="131" spans="1:10" ht="26.4">
      <c r="A131" s="48" t="s">
        <v>452</v>
      </c>
      <c r="B131" s="24">
        <v>22160335</v>
      </c>
      <c r="C131" s="51">
        <v>3500</v>
      </c>
      <c r="D131" s="50" t="s">
        <v>453</v>
      </c>
      <c r="E131" s="50" t="s">
        <v>449</v>
      </c>
      <c r="F131" s="50" t="s">
        <v>164</v>
      </c>
      <c r="G131" s="49" t="s">
        <v>454</v>
      </c>
      <c r="H131" s="49">
        <v>79</v>
      </c>
      <c r="I131" s="49" t="s">
        <v>455</v>
      </c>
      <c r="J131" s="49" t="s">
        <v>163</v>
      </c>
    </row>
    <row r="132" spans="1:10" ht="26.4">
      <c r="A132" s="48" t="s">
        <v>456</v>
      </c>
      <c r="B132" s="24">
        <v>12150418</v>
      </c>
      <c r="C132" s="51">
        <v>1000</v>
      </c>
      <c r="D132" s="50" t="s">
        <v>457</v>
      </c>
      <c r="E132" s="50" t="s">
        <v>449</v>
      </c>
      <c r="F132" s="50" t="s">
        <v>164</v>
      </c>
      <c r="G132" s="49" t="s">
        <v>458</v>
      </c>
      <c r="H132" s="49">
        <v>43</v>
      </c>
      <c r="I132" s="49" t="s">
        <v>199</v>
      </c>
      <c r="J132" s="49" t="s">
        <v>163</v>
      </c>
    </row>
    <row r="133" spans="1:10" ht="26.4">
      <c r="A133" s="48" t="s">
        <v>459</v>
      </c>
      <c r="B133" s="24">
        <v>20916081</v>
      </c>
      <c r="C133" s="51">
        <v>2200</v>
      </c>
      <c r="D133" s="50" t="s">
        <v>460</v>
      </c>
      <c r="E133" s="50" t="s">
        <v>449</v>
      </c>
      <c r="F133" s="50" t="s">
        <v>164</v>
      </c>
      <c r="G133" s="49" t="s">
        <v>461</v>
      </c>
      <c r="H133" s="49">
        <v>93</v>
      </c>
      <c r="I133" s="49" t="s">
        <v>199</v>
      </c>
      <c r="J133" s="49" t="s">
        <v>163</v>
      </c>
    </row>
    <row r="134" spans="1:10" ht="26.4">
      <c r="A134" s="48" t="s">
        <v>462</v>
      </c>
      <c r="B134" s="24">
        <v>28837059</v>
      </c>
      <c r="C134" s="51">
        <v>2000</v>
      </c>
      <c r="D134" s="50" t="s">
        <v>463</v>
      </c>
      <c r="E134" s="50" t="s">
        <v>449</v>
      </c>
      <c r="F134" s="50" t="s">
        <v>164</v>
      </c>
      <c r="G134" s="49" t="s">
        <v>464</v>
      </c>
      <c r="H134" s="49">
        <v>92</v>
      </c>
      <c r="I134" s="49" t="s">
        <v>199</v>
      </c>
      <c r="J134" s="49" t="s">
        <v>163</v>
      </c>
    </row>
    <row r="135" spans="1:10" ht="26.4">
      <c r="A135" s="48" t="s">
        <v>465</v>
      </c>
      <c r="B135" s="24">
        <v>12341528</v>
      </c>
      <c r="C135" s="51">
        <v>1500</v>
      </c>
      <c r="D135" s="50" t="s">
        <v>466</v>
      </c>
      <c r="E135" s="50" t="s">
        <v>449</v>
      </c>
      <c r="F135" s="50" t="s">
        <v>164</v>
      </c>
      <c r="G135" s="49" t="s">
        <v>467</v>
      </c>
      <c r="H135" s="49" t="s">
        <v>290</v>
      </c>
      <c r="I135" s="49" t="s">
        <v>209</v>
      </c>
      <c r="J135" s="49" t="s">
        <v>163</v>
      </c>
    </row>
    <row r="136" spans="1:10" ht="26.4">
      <c r="A136" s="48" t="s">
        <v>415</v>
      </c>
      <c r="B136" s="24">
        <v>25850841</v>
      </c>
      <c r="C136" s="51">
        <v>1200</v>
      </c>
      <c r="D136" s="50" t="s">
        <v>468</v>
      </c>
      <c r="E136" s="58" t="s">
        <v>337</v>
      </c>
      <c r="F136" s="50" t="s">
        <v>164</v>
      </c>
      <c r="G136" s="49" t="s">
        <v>417</v>
      </c>
      <c r="H136" s="49">
        <v>148</v>
      </c>
      <c r="I136" s="49" t="s">
        <v>383</v>
      </c>
      <c r="J136" s="49" t="s">
        <v>318</v>
      </c>
    </row>
    <row r="137" spans="1:10" ht="26.4">
      <c r="A137" s="48" t="s">
        <v>469</v>
      </c>
      <c r="B137" s="24">
        <v>10870808</v>
      </c>
      <c r="C137" s="51">
        <v>20000</v>
      </c>
      <c r="D137" s="50" t="s">
        <v>471</v>
      </c>
      <c r="E137" s="58" t="s">
        <v>470</v>
      </c>
      <c r="F137" s="50" t="s">
        <v>164</v>
      </c>
      <c r="G137" s="49" t="s">
        <v>472</v>
      </c>
      <c r="H137" s="49">
        <v>41</v>
      </c>
      <c r="I137" s="49" t="s">
        <v>199</v>
      </c>
      <c r="J137" s="49" t="s">
        <v>318</v>
      </c>
    </row>
    <row r="138" spans="1:10" ht="26.4">
      <c r="A138" s="48" t="s">
        <v>473</v>
      </c>
      <c r="B138" s="24">
        <v>13984673</v>
      </c>
      <c r="C138" s="51">
        <v>1000</v>
      </c>
      <c r="D138" s="50" t="s">
        <v>474</v>
      </c>
      <c r="E138" s="58" t="s">
        <v>475</v>
      </c>
      <c r="F138" s="50" t="s">
        <v>164</v>
      </c>
      <c r="G138" s="49" t="s">
        <v>476</v>
      </c>
      <c r="H138" s="49">
        <v>1743</v>
      </c>
      <c r="I138" s="49" t="s">
        <v>274</v>
      </c>
      <c r="J138" s="49" t="s">
        <v>318</v>
      </c>
    </row>
    <row r="139" spans="1:10" ht="26.4">
      <c r="A139" s="48" t="s">
        <v>229</v>
      </c>
      <c r="B139" s="24">
        <v>6699842</v>
      </c>
      <c r="C139" s="51">
        <v>12000</v>
      </c>
      <c r="D139" s="50" t="s">
        <v>474</v>
      </c>
      <c r="E139" s="58" t="s">
        <v>475</v>
      </c>
      <c r="F139" s="50" t="s">
        <v>164</v>
      </c>
      <c r="G139" s="49" t="s">
        <v>232</v>
      </c>
      <c r="H139" s="49">
        <v>130</v>
      </c>
      <c r="I139" t="s">
        <v>199</v>
      </c>
      <c r="J139" s="49" t="s">
        <v>163</v>
      </c>
    </row>
    <row r="140" spans="1:10" ht="26.4">
      <c r="A140" s="48" t="s">
        <v>477</v>
      </c>
      <c r="B140" s="24">
        <v>14974136</v>
      </c>
      <c r="C140" s="51">
        <v>3000</v>
      </c>
      <c r="D140" s="50" t="s">
        <v>478</v>
      </c>
      <c r="E140" s="50" t="s">
        <v>164</v>
      </c>
      <c r="F140" s="50" t="s">
        <v>164</v>
      </c>
      <c r="G140" s="49" t="s">
        <v>479</v>
      </c>
      <c r="H140" s="49">
        <v>0</v>
      </c>
      <c r="I140" t="s">
        <v>424</v>
      </c>
      <c r="J140" s="49" t="s">
        <v>163</v>
      </c>
    </row>
    <row r="141" spans="1:10" ht="26.4">
      <c r="A141" s="55" t="s">
        <v>370</v>
      </c>
      <c r="B141" s="56">
        <v>29860938</v>
      </c>
      <c r="C141" s="60">
        <v>54000</v>
      </c>
      <c r="D141" s="50" t="s">
        <v>480</v>
      </c>
      <c r="E141" s="58" t="s">
        <v>475</v>
      </c>
      <c r="F141" s="50" t="s">
        <v>168</v>
      </c>
      <c r="G141" s="57" t="s">
        <v>373</v>
      </c>
      <c r="H141">
        <v>823</v>
      </c>
      <c r="I141" s="57" t="s">
        <v>199</v>
      </c>
      <c r="J141" s="57" t="s">
        <v>163</v>
      </c>
    </row>
    <row r="142" spans="1:10" ht="26.4">
      <c r="A142" s="55" t="s">
        <v>482</v>
      </c>
      <c r="B142" s="56">
        <v>13484179</v>
      </c>
      <c r="C142" s="60">
        <v>35000</v>
      </c>
      <c r="D142" s="50" t="s">
        <v>481</v>
      </c>
      <c r="E142" s="58" t="s">
        <v>475</v>
      </c>
      <c r="F142" s="50" t="s">
        <v>168</v>
      </c>
      <c r="G142" s="57" t="s">
        <v>213</v>
      </c>
      <c r="H142">
        <v>136</v>
      </c>
      <c r="I142" s="57" t="s">
        <v>199</v>
      </c>
      <c r="J142" s="57" t="s">
        <v>163</v>
      </c>
    </row>
    <row r="143" spans="1:10">
      <c r="A143" s="48" t="s">
        <v>304</v>
      </c>
      <c r="B143" s="24">
        <v>22140284</v>
      </c>
      <c r="C143" s="51">
        <v>4000</v>
      </c>
      <c r="D143" s="50" t="s">
        <v>483</v>
      </c>
      <c r="E143" s="50" t="s">
        <v>484</v>
      </c>
      <c r="F143" s="50" t="s">
        <v>300</v>
      </c>
      <c r="G143" s="49" t="s">
        <v>306</v>
      </c>
      <c r="H143" s="49">
        <v>1445</v>
      </c>
      <c r="I143" s="49" t="s">
        <v>209</v>
      </c>
      <c r="J143" s="49" t="s">
        <v>209</v>
      </c>
    </row>
    <row r="144" spans="1:10">
      <c r="A144" s="48" t="s">
        <v>307</v>
      </c>
      <c r="B144" s="24">
        <v>22035018</v>
      </c>
      <c r="C144" s="51">
        <v>5800</v>
      </c>
      <c r="D144" s="50" t="s">
        <v>485</v>
      </c>
      <c r="E144" s="50" t="s">
        <v>486</v>
      </c>
      <c r="F144" s="50" t="s">
        <v>300</v>
      </c>
      <c r="G144" s="49" t="s">
        <v>309</v>
      </c>
      <c r="H144" s="49">
        <v>251</v>
      </c>
      <c r="I144" s="49" t="s">
        <v>274</v>
      </c>
      <c r="J144" s="49" t="s">
        <v>163</v>
      </c>
    </row>
    <row r="145" spans="1:11">
      <c r="A145" s="48" t="s">
        <v>487</v>
      </c>
      <c r="B145" s="24">
        <v>23567335</v>
      </c>
      <c r="C145" s="51">
        <v>29650</v>
      </c>
      <c r="D145" s="50" t="s">
        <v>488</v>
      </c>
      <c r="E145" s="50" t="s">
        <v>489</v>
      </c>
      <c r="F145" s="50" t="s">
        <v>300</v>
      </c>
      <c r="G145" s="49" t="s">
        <v>490</v>
      </c>
      <c r="H145" s="49">
        <v>871</v>
      </c>
      <c r="I145" s="49" t="s">
        <v>491</v>
      </c>
      <c r="J145" s="49" t="s">
        <v>492</v>
      </c>
    </row>
    <row r="146" spans="1:11">
      <c r="A146" s="48" t="s">
        <v>493</v>
      </c>
      <c r="B146" s="24">
        <v>30552188</v>
      </c>
      <c r="C146" s="51">
        <v>4000</v>
      </c>
      <c r="D146" s="50" t="s">
        <v>494</v>
      </c>
      <c r="E146" s="50" t="s">
        <v>489</v>
      </c>
      <c r="F146" s="50" t="s">
        <v>300</v>
      </c>
      <c r="G146" s="49" t="s">
        <v>495</v>
      </c>
      <c r="H146" s="49">
        <v>256</v>
      </c>
      <c r="I146" s="49" t="s">
        <v>496</v>
      </c>
      <c r="J146" s="49" t="s">
        <v>318</v>
      </c>
    </row>
    <row r="147" spans="1:11">
      <c r="A147" s="48" t="s">
        <v>319</v>
      </c>
      <c r="B147" s="24">
        <v>24991253</v>
      </c>
      <c r="C147" s="51">
        <v>2500</v>
      </c>
      <c r="D147" s="50" t="s">
        <v>497</v>
      </c>
      <c r="E147" s="50" t="s">
        <v>489</v>
      </c>
      <c r="F147" s="50" t="s">
        <v>300</v>
      </c>
      <c r="G147" s="49" t="s">
        <v>321</v>
      </c>
      <c r="H147" s="49">
        <v>1351</v>
      </c>
      <c r="I147" s="49" t="s">
        <v>274</v>
      </c>
      <c r="J147" s="49" t="s">
        <v>318</v>
      </c>
    </row>
    <row r="148" spans="1:11">
      <c r="A148" s="48" t="s">
        <v>498</v>
      </c>
      <c r="B148" s="24">
        <v>22747336</v>
      </c>
      <c r="C148" s="51">
        <v>3000</v>
      </c>
      <c r="D148" s="50" t="s">
        <v>499</v>
      </c>
      <c r="E148" s="50" t="s">
        <v>489</v>
      </c>
      <c r="F148" s="50" t="s">
        <v>300</v>
      </c>
      <c r="G148" s="49" t="s">
        <v>500</v>
      </c>
      <c r="H148" s="49">
        <v>719</v>
      </c>
      <c r="I148" s="49" t="s">
        <v>501</v>
      </c>
      <c r="J148" s="49" t="s">
        <v>318</v>
      </c>
    </row>
    <row r="149" spans="1:11" ht="26.4">
      <c r="A149" s="55" t="s">
        <v>502</v>
      </c>
      <c r="B149" s="56">
        <v>38338457</v>
      </c>
      <c r="C149" s="60">
        <f>7*29.85</f>
        <v>208.95000000000002</v>
      </c>
      <c r="D149" s="50" t="s">
        <v>503</v>
      </c>
      <c r="E149" s="50" t="s">
        <v>164</v>
      </c>
      <c r="F149" s="50" t="s">
        <v>164</v>
      </c>
      <c r="G149" s="57" t="s">
        <v>423</v>
      </c>
      <c r="H149" s="57" t="s">
        <v>148</v>
      </c>
      <c r="I149" s="57" t="s">
        <v>146</v>
      </c>
      <c r="J149" s="57" t="s">
        <v>318</v>
      </c>
    </row>
    <row r="150" spans="1:11" ht="26.4">
      <c r="A150" s="55" t="s">
        <v>504</v>
      </c>
      <c r="B150" s="56">
        <v>38161679</v>
      </c>
      <c r="C150" s="60">
        <f>17*29.85</f>
        <v>507.45000000000005</v>
      </c>
      <c r="D150" s="50" t="s">
        <v>506</v>
      </c>
      <c r="E150" s="50" t="s">
        <v>505</v>
      </c>
      <c r="F150" s="50" t="s">
        <v>164</v>
      </c>
      <c r="G150" s="57" t="s">
        <v>423</v>
      </c>
      <c r="H150" s="57" t="s">
        <v>148</v>
      </c>
      <c r="I150" s="57" t="s">
        <v>146</v>
      </c>
      <c r="J150" s="57" t="s">
        <v>318</v>
      </c>
    </row>
    <row r="151" spans="1:11" ht="26.4">
      <c r="A151" s="55" t="s">
        <v>507</v>
      </c>
      <c r="B151" s="56">
        <v>11199679</v>
      </c>
      <c r="C151" s="60">
        <f>34*22</f>
        <v>748</v>
      </c>
      <c r="D151" s="50" t="s">
        <v>508</v>
      </c>
      <c r="E151" s="50" t="s">
        <v>164</v>
      </c>
      <c r="F151" s="50" t="s">
        <v>164</v>
      </c>
      <c r="G151" s="57" t="s">
        <v>423</v>
      </c>
      <c r="H151" s="57" t="s">
        <v>148</v>
      </c>
      <c r="I151" s="57" t="s">
        <v>146</v>
      </c>
      <c r="J151" s="57" t="s">
        <v>318</v>
      </c>
    </row>
    <row r="152" spans="1:11" ht="26.4">
      <c r="A152" s="55" t="s">
        <v>178</v>
      </c>
      <c r="B152" s="56">
        <v>12369125</v>
      </c>
      <c r="C152" s="60">
        <f>22*22</f>
        <v>484</v>
      </c>
      <c r="D152" s="50" t="s">
        <v>509</v>
      </c>
      <c r="E152" s="50" t="s">
        <v>164</v>
      </c>
      <c r="F152" s="50" t="s">
        <v>164</v>
      </c>
      <c r="G152" s="57" t="s">
        <v>423</v>
      </c>
      <c r="H152" s="57" t="s">
        <v>148</v>
      </c>
      <c r="I152" s="57" t="s">
        <v>146</v>
      </c>
      <c r="J152" s="57" t="s">
        <v>318</v>
      </c>
    </row>
    <row r="153" spans="1:11">
      <c r="A153" s="48" t="s">
        <v>510</v>
      </c>
      <c r="B153" s="24">
        <v>35231596</v>
      </c>
      <c r="C153" s="51">
        <v>500</v>
      </c>
      <c r="D153" s="50" t="s">
        <v>511</v>
      </c>
      <c r="E153" s="50" t="s">
        <v>489</v>
      </c>
      <c r="F153" s="50" t="s">
        <v>300</v>
      </c>
      <c r="G153" s="49" t="s">
        <v>512</v>
      </c>
      <c r="H153" s="49">
        <v>33</v>
      </c>
      <c r="I153" s="49" t="s">
        <v>199</v>
      </c>
      <c r="J153" s="49" t="s">
        <v>318</v>
      </c>
    </row>
    <row r="154" spans="1:11">
      <c r="A154" s="48" t="s">
        <v>513</v>
      </c>
      <c r="B154" s="24">
        <v>38279276</v>
      </c>
      <c r="C154" s="51">
        <v>500</v>
      </c>
      <c r="D154" s="50" t="s">
        <v>514</v>
      </c>
      <c r="E154" s="50" t="s">
        <v>489</v>
      </c>
      <c r="F154" s="50" t="s">
        <v>300</v>
      </c>
      <c r="G154" s="49" t="s">
        <v>423</v>
      </c>
      <c r="H154" s="49" t="s">
        <v>148</v>
      </c>
      <c r="I154" s="49" t="s">
        <v>199</v>
      </c>
      <c r="J154" s="49" t="s">
        <v>318</v>
      </c>
    </row>
    <row r="155" spans="1:11">
      <c r="A155" s="48" t="s">
        <v>515</v>
      </c>
      <c r="B155" s="24">
        <v>17287628</v>
      </c>
      <c r="C155" s="51">
        <v>1000</v>
      </c>
      <c r="D155" s="50" t="s">
        <v>517</v>
      </c>
      <c r="E155" s="50" t="s">
        <v>516</v>
      </c>
      <c r="F155" s="50" t="s">
        <v>300</v>
      </c>
      <c r="G155" s="49" t="s">
        <v>423</v>
      </c>
      <c r="H155" s="49" t="s">
        <v>148</v>
      </c>
      <c r="I155" s="49" t="s">
        <v>263</v>
      </c>
      <c r="J155" s="49" t="s">
        <v>318</v>
      </c>
    </row>
    <row r="156" spans="1:11" ht="26.4">
      <c r="A156" s="48" t="s">
        <v>518</v>
      </c>
      <c r="B156" s="24">
        <v>11908610</v>
      </c>
      <c r="C156" s="51">
        <v>1800</v>
      </c>
      <c r="D156" s="50" t="s">
        <v>421</v>
      </c>
      <c r="E156" s="50" t="s">
        <v>519</v>
      </c>
      <c r="F156" s="50" t="s">
        <v>164</v>
      </c>
      <c r="G156" s="49" t="s">
        <v>423</v>
      </c>
      <c r="H156" s="49" t="s">
        <v>148</v>
      </c>
      <c r="I156" s="49" t="s">
        <v>424</v>
      </c>
      <c r="J156" s="49" t="s">
        <v>318</v>
      </c>
    </row>
    <row r="157" spans="1:11" ht="26.4">
      <c r="A157" s="48" t="s">
        <v>520</v>
      </c>
      <c r="B157" s="24">
        <v>28656461</v>
      </c>
      <c r="C157" s="51">
        <v>2000</v>
      </c>
      <c r="D157" s="50" t="s">
        <v>522</v>
      </c>
      <c r="E157" s="50" t="s">
        <v>521</v>
      </c>
      <c r="F157" s="50" t="s">
        <v>164</v>
      </c>
      <c r="G157" s="49" t="s">
        <v>523</v>
      </c>
      <c r="H157" s="49">
        <v>383</v>
      </c>
      <c r="I157" s="49" t="s">
        <v>199</v>
      </c>
      <c r="J157" s="49" t="s">
        <v>318</v>
      </c>
    </row>
    <row r="158" spans="1:11" ht="26.4">
      <c r="A158" s="48" t="s">
        <v>102</v>
      </c>
      <c r="B158" s="24">
        <v>24939938</v>
      </c>
      <c r="C158" s="51">
        <f>25*28</f>
        <v>700</v>
      </c>
      <c r="D158" s="50" t="s">
        <v>537</v>
      </c>
      <c r="E158" s="50" t="s">
        <v>539</v>
      </c>
      <c r="F158" s="50" t="s">
        <v>538</v>
      </c>
      <c r="G158" s="49" t="s">
        <v>363</v>
      </c>
      <c r="H158" s="49" t="s">
        <v>148</v>
      </c>
      <c r="I158" t="s">
        <v>146</v>
      </c>
      <c r="J158" s="49" t="s">
        <v>163</v>
      </c>
      <c r="K158">
        <v>5</v>
      </c>
    </row>
    <row r="159" spans="1:11" ht="26.4">
      <c r="A159" s="55" t="s">
        <v>541</v>
      </c>
      <c r="B159" s="56">
        <v>36917675</v>
      </c>
      <c r="C159" s="60">
        <v>1400</v>
      </c>
      <c r="D159" s="50" t="s">
        <v>543</v>
      </c>
      <c r="E159" s="50" t="s">
        <v>544</v>
      </c>
      <c r="F159" s="58" t="s">
        <v>542</v>
      </c>
      <c r="G159" s="49" t="s">
        <v>237</v>
      </c>
      <c r="H159">
        <v>428</v>
      </c>
      <c r="I159" t="s">
        <v>146</v>
      </c>
      <c r="J159" s="49" t="s">
        <v>419</v>
      </c>
      <c r="K159">
        <v>5</v>
      </c>
    </row>
    <row r="160" spans="1:11" ht="26.4">
      <c r="A160" s="55" t="s">
        <v>545</v>
      </c>
      <c r="B160" s="56">
        <v>18595248</v>
      </c>
      <c r="C160" s="60">
        <v>1400</v>
      </c>
      <c r="D160" s="50" t="s">
        <v>543</v>
      </c>
      <c r="E160" s="50" t="s">
        <v>544</v>
      </c>
      <c r="F160" s="58" t="s">
        <v>542</v>
      </c>
      <c r="G160" s="49" t="s">
        <v>546</v>
      </c>
      <c r="H160" t="s">
        <v>148</v>
      </c>
      <c r="I160" t="s">
        <v>146</v>
      </c>
      <c r="J160" s="49" t="s">
        <v>419</v>
      </c>
      <c r="K160">
        <v>5</v>
      </c>
    </row>
    <row r="161" spans="1:12" ht="26.4">
      <c r="A161" s="55" t="s">
        <v>547</v>
      </c>
      <c r="B161" s="56">
        <v>24221323</v>
      </c>
      <c r="C161" s="60">
        <v>1400</v>
      </c>
      <c r="D161" s="50" t="s">
        <v>543</v>
      </c>
      <c r="E161" s="50" t="s">
        <v>544</v>
      </c>
      <c r="F161" s="58" t="s">
        <v>542</v>
      </c>
      <c r="G161" s="49" t="s">
        <v>548</v>
      </c>
      <c r="H161">
        <v>420</v>
      </c>
      <c r="I161" t="s">
        <v>146</v>
      </c>
      <c r="J161" s="49" t="s">
        <v>419</v>
      </c>
      <c r="K161">
        <v>5</v>
      </c>
    </row>
    <row r="162" spans="1:12" ht="26.4">
      <c r="A162" s="55" t="s">
        <v>549</v>
      </c>
      <c r="B162" s="56">
        <v>20888915</v>
      </c>
      <c r="C162" s="60">
        <f>25*21</f>
        <v>525</v>
      </c>
      <c r="D162" s="50" t="s">
        <v>550</v>
      </c>
      <c r="E162" s="50" t="s">
        <v>544</v>
      </c>
      <c r="F162" s="58" t="s">
        <v>542</v>
      </c>
      <c r="G162" s="49" t="s">
        <v>551</v>
      </c>
      <c r="H162" t="s">
        <v>148</v>
      </c>
      <c r="I162" t="s">
        <v>146</v>
      </c>
      <c r="J162" s="49" t="s">
        <v>419</v>
      </c>
      <c r="K162">
        <v>5</v>
      </c>
    </row>
    <row r="163" spans="1:12" ht="26.4">
      <c r="A163" s="55" t="s">
        <v>553</v>
      </c>
      <c r="B163" s="56">
        <v>16909166</v>
      </c>
      <c r="C163" s="60">
        <v>1400</v>
      </c>
      <c r="D163" s="50" t="s">
        <v>543</v>
      </c>
      <c r="E163" s="50" t="s">
        <v>544</v>
      </c>
      <c r="F163" s="58" t="s">
        <v>542</v>
      </c>
      <c r="G163" s="49" t="s">
        <v>552</v>
      </c>
      <c r="H163" t="s">
        <v>148</v>
      </c>
      <c r="I163" t="s">
        <v>146</v>
      </c>
      <c r="J163" s="49" t="s">
        <v>419</v>
      </c>
      <c r="K163">
        <v>5</v>
      </c>
    </row>
    <row r="164" spans="1:12" ht="26.4">
      <c r="A164" s="55" t="s">
        <v>104</v>
      </c>
      <c r="B164" s="56">
        <v>36986968</v>
      </c>
      <c r="C164" s="60">
        <f>28*25</f>
        <v>700</v>
      </c>
      <c r="D164" s="50" t="s">
        <v>554</v>
      </c>
      <c r="E164" s="50" t="s">
        <v>544</v>
      </c>
      <c r="F164" s="58" t="s">
        <v>542</v>
      </c>
      <c r="G164" s="49" t="s">
        <v>555</v>
      </c>
      <c r="H164" t="s">
        <v>148</v>
      </c>
      <c r="I164" t="s">
        <v>556</v>
      </c>
      <c r="J164" s="49" t="s">
        <v>419</v>
      </c>
      <c r="K164">
        <v>5</v>
      </c>
    </row>
    <row r="165" spans="1:12" ht="26.4">
      <c r="A165" s="55" t="s">
        <v>564</v>
      </c>
      <c r="B165" s="56">
        <v>20082419</v>
      </c>
      <c r="D165" s="50" t="s">
        <v>559</v>
      </c>
      <c r="E165" s="50" t="s">
        <v>560</v>
      </c>
      <c r="F165" s="58" t="s">
        <v>558</v>
      </c>
      <c r="G165" s="49" t="s">
        <v>557</v>
      </c>
      <c r="H165" t="s">
        <v>148</v>
      </c>
      <c r="I165" t="s">
        <v>146</v>
      </c>
      <c r="J165" s="49" t="s">
        <v>419</v>
      </c>
      <c r="K165">
        <v>30</v>
      </c>
    </row>
    <row r="166" spans="1:12" ht="26.4">
      <c r="A166" s="55" t="s">
        <v>565</v>
      </c>
      <c r="B166" s="67">
        <v>8652537</v>
      </c>
      <c r="C166" s="60">
        <v>1500</v>
      </c>
      <c r="D166" s="50" t="s">
        <v>568</v>
      </c>
      <c r="E166" s="58" t="s">
        <v>567</v>
      </c>
      <c r="F166" s="58" t="s">
        <v>542</v>
      </c>
      <c r="G166" s="49" t="s">
        <v>566</v>
      </c>
      <c r="H166" t="s">
        <v>290</v>
      </c>
      <c r="I166" t="s">
        <v>146</v>
      </c>
      <c r="J166" s="49" t="s">
        <v>419</v>
      </c>
      <c r="K166">
        <v>3</v>
      </c>
    </row>
    <row r="167" spans="1:12" ht="66">
      <c r="A167" s="55" t="s">
        <v>569</v>
      </c>
      <c r="B167" s="68">
        <v>18105934</v>
      </c>
      <c r="C167" s="60">
        <v>28880</v>
      </c>
      <c r="D167" s="50" t="s">
        <v>571</v>
      </c>
      <c r="E167" s="50" t="s">
        <v>572</v>
      </c>
      <c r="F167" s="50" t="s">
        <v>573</v>
      </c>
      <c r="G167" s="49" t="s">
        <v>570</v>
      </c>
      <c r="H167" t="s">
        <v>290</v>
      </c>
      <c r="I167" t="s">
        <v>383</v>
      </c>
      <c r="J167" s="49" t="s">
        <v>419</v>
      </c>
      <c r="K167">
        <v>25</v>
      </c>
    </row>
    <row r="168" spans="1:12" ht="26.4">
      <c r="A168" s="55" t="s">
        <v>642</v>
      </c>
      <c r="B168" s="68">
        <v>17908459</v>
      </c>
      <c r="C168" s="60">
        <v>9340</v>
      </c>
      <c r="D168" s="50" t="s">
        <v>574</v>
      </c>
      <c r="E168" s="50" t="s">
        <v>575</v>
      </c>
      <c r="F168" s="58" t="s">
        <v>542</v>
      </c>
      <c r="G168" s="49" t="s">
        <v>576</v>
      </c>
      <c r="H168" s="49" t="s">
        <v>290</v>
      </c>
      <c r="I168" s="49" t="s">
        <v>566</v>
      </c>
      <c r="J168" s="49" t="s">
        <v>318</v>
      </c>
      <c r="K168">
        <v>10</v>
      </c>
    </row>
    <row r="169" spans="1:12" ht="26.4">
      <c r="A169" s="55" t="s">
        <v>577</v>
      </c>
      <c r="B169" s="68">
        <v>18566398</v>
      </c>
      <c r="C169" s="60">
        <v>31950</v>
      </c>
      <c r="D169" s="50" t="s">
        <v>578</v>
      </c>
      <c r="E169" s="50" t="s">
        <v>579</v>
      </c>
      <c r="F169" s="58" t="s">
        <v>542</v>
      </c>
      <c r="G169" s="49" t="s">
        <v>580</v>
      </c>
      <c r="H169" s="49" t="s">
        <v>290</v>
      </c>
      <c r="I169" s="49" t="s">
        <v>146</v>
      </c>
      <c r="J169" s="49" t="s">
        <v>419</v>
      </c>
      <c r="K169">
        <v>30</v>
      </c>
    </row>
    <row r="170" spans="1:12" ht="26.4">
      <c r="A170" s="55" t="s">
        <v>581</v>
      </c>
      <c r="B170" s="56">
        <v>6698429</v>
      </c>
      <c r="C170" s="60">
        <v>50000</v>
      </c>
      <c r="D170" s="50" t="s">
        <v>582</v>
      </c>
      <c r="E170" s="69" t="s">
        <v>583</v>
      </c>
      <c r="F170" s="58" t="s">
        <v>584</v>
      </c>
      <c r="G170" s="49" t="s">
        <v>551</v>
      </c>
      <c r="H170" t="s">
        <v>148</v>
      </c>
      <c r="I170" s="49" t="s">
        <v>146</v>
      </c>
      <c r="J170" s="49" t="s">
        <v>419</v>
      </c>
      <c r="K170">
        <v>20</v>
      </c>
    </row>
    <row r="171" spans="1:12" ht="26.4">
      <c r="A171" s="55" t="s">
        <v>564</v>
      </c>
      <c r="B171" s="56">
        <v>20082419</v>
      </c>
      <c r="C171" s="60">
        <v>11880</v>
      </c>
      <c r="D171" s="50" t="s">
        <v>585</v>
      </c>
      <c r="E171" s="50" t="s">
        <v>586</v>
      </c>
      <c r="F171" s="50" t="s">
        <v>587</v>
      </c>
      <c r="G171" s="49" t="s">
        <v>557</v>
      </c>
      <c r="H171" t="s">
        <v>148</v>
      </c>
      <c r="I171" t="s">
        <v>146</v>
      </c>
      <c r="J171" s="49" t="s">
        <v>419</v>
      </c>
      <c r="K171">
        <v>10</v>
      </c>
    </row>
    <row r="172" spans="1:12" ht="26.4">
      <c r="A172" s="55" t="s">
        <v>564</v>
      </c>
      <c r="B172" s="68">
        <v>20082419</v>
      </c>
      <c r="C172" s="60">
        <v>4440</v>
      </c>
      <c r="D172" s="50" t="s">
        <v>588</v>
      </c>
      <c r="E172" s="50" t="s">
        <v>589</v>
      </c>
      <c r="F172" s="58" t="s">
        <v>590</v>
      </c>
      <c r="G172" s="49" t="s">
        <v>557</v>
      </c>
      <c r="H172" t="s">
        <v>290</v>
      </c>
      <c r="I172" t="s">
        <v>146</v>
      </c>
      <c r="J172" s="49" t="s">
        <v>318</v>
      </c>
      <c r="K172">
        <v>8</v>
      </c>
    </row>
    <row r="173" spans="1:12" ht="26.4">
      <c r="A173" s="55" t="s">
        <v>564</v>
      </c>
      <c r="B173" s="68">
        <v>20082419</v>
      </c>
      <c r="C173" s="60">
        <v>17420</v>
      </c>
      <c r="D173" s="50" t="s">
        <v>591</v>
      </c>
      <c r="E173" s="50" t="s">
        <v>593</v>
      </c>
      <c r="F173" s="58" t="s">
        <v>592</v>
      </c>
      <c r="G173" s="49" t="s">
        <v>557</v>
      </c>
      <c r="H173" t="s">
        <v>290</v>
      </c>
      <c r="I173" t="s">
        <v>146</v>
      </c>
      <c r="J173" s="49" t="s">
        <v>318</v>
      </c>
      <c r="K173">
        <v>30</v>
      </c>
    </row>
    <row r="174" spans="1:12" ht="26.4">
      <c r="A174" s="55" t="s">
        <v>569</v>
      </c>
      <c r="B174" s="68">
        <v>18105934</v>
      </c>
      <c r="C174" s="60">
        <v>17990</v>
      </c>
      <c r="D174" s="50" t="s">
        <v>594</v>
      </c>
      <c r="E174" s="50" t="s">
        <v>595</v>
      </c>
      <c r="F174" s="58" t="s">
        <v>592</v>
      </c>
      <c r="G174" s="49" t="s">
        <v>596</v>
      </c>
      <c r="H174" t="s">
        <v>290</v>
      </c>
      <c r="I174" t="s">
        <v>383</v>
      </c>
      <c r="J174" s="49" t="s">
        <v>318</v>
      </c>
      <c r="K174">
        <v>20</v>
      </c>
    </row>
    <row r="175" spans="1:12" ht="26.4">
      <c r="A175" s="55" t="s">
        <v>603</v>
      </c>
      <c r="B175" s="68">
        <v>6698429</v>
      </c>
      <c r="C175" s="60">
        <v>55000</v>
      </c>
      <c r="D175" s="50" t="s">
        <v>597</v>
      </c>
      <c r="E175" s="50" t="s">
        <v>598</v>
      </c>
      <c r="F175" s="58" t="s">
        <v>592</v>
      </c>
      <c r="G175" s="49" t="s">
        <v>599</v>
      </c>
      <c r="H175" t="s">
        <v>290</v>
      </c>
      <c r="I175" t="s">
        <v>146</v>
      </c>
      <c r="J175" s="49" t="s">
        <v>318</v>
      </c>
      <c r="K175">
        <v>20</v>
      </c>
      <c r="L175" s="70">
        <v>42073</v>
      </c>
    </row>
    <row r="176" spans="1:12" ht="26.4">
      <c r="A176" s="55" t="s">
        <v>604</v>
      </c>
      <c r="B176" s="68">
        <v>30941397</v>
      </c>
      <c r="C176" s="60">
        <v>60000</v>
      </c>
      <c r="D176" s="50" t="s">
        <v>606</v>
      </c>
      <c r="E176" s="58" t="s">
        <v>326</v>
      </c>
      <c r="F176" s="58" t="s">
        <v>592</v>
      </c>
      <c r="G176" s="49" t="s">
        <v>605</v>
      </c>
      <c r="H176">
        <v>345</v>
      </c>
      <c r="I176" t="s">
        <v>199</v>
      </c>
      <c r="J176" s="49" t="s">
        <v>318</v>
      </c>
      <c r="K176">
        <v>30</v>
      </c>
      <c r="L176" s="70">
        <v>42093</v>
      </c>
    </row>
    <row r="177" spans="1:12" ht="26.4">
      <c r="A177" s="55" t="s">
        <v>569</v>
      </c>
      <c r="B177" s="68">
        <v>18105934</v>
      </c>
      <c r="C177" s="60">
        <v>25950</v>
      </c>
      <c r="D177" s="50" t="s">
        <v>607</v>
      </c>
      <c r="E177" s="50" t="s">
        <v>609</v>
      </c>
      <c r="F177" s="50" t="s">
        <v>610</v>
      </c>
      <c r="G177" s="49" t="s">
        <v>608</v>
      </c>
      <c r="H177" t="s">
        <v>290</v>
      </c>
      <c r="I177" t="s">
        <v>146</v>
      </c>
      <c r="J177" s="49" t="s">
        <v>318</v>
      </c>
      <c r="K177">
        <v>20</v>
      </c>
      <c r="L177" s="70">
        <v>42079</v>
      </c>
    </row>
    <row r="178" spans="1:12" ht="26.4">
      <c r="A178" s="55" t="s">
        <v>611</v>
      </c>
      <c r="B178" s="68">
        <v>16655365</v>
      </c>
      <c r="C178" s="60">
        <v>5000</v>
      </c>
      <c r="D178" s="50" t="s">
        <v>612</v>
      </c>
      <c r="E178" s="50" t="s">
        <v>613</v>
      </c>
      <c r="F178" s="58" t="s">
        <v>614</v>
      </c>
      <c r="G178" s="49" t="s">
        <v>615</v>
      </c>
      <c r="H178" t="s">
        <v>290</v>
      </c>
      <c r="I178" t="s">
        <v>616</v>
      </c>
      <c r="J178" s="49" t="s">
        <v>318</v>
      </c>
      <c r="K178">
        <v>5</v>
      </c>
      <c r="L178" s="70">
        <v>42095</v>
      </c>
    </row>
    <row r="179" spans="1:12" ht="26.4">
      <c r="A179" s="55" t="s">
        <v>617</v>
      </c>
      <c r="B179" s="68">
        <v>34096799</v>
      </c>
      <c r="C179" s="60">
        <v>12800</v>
      </c>
      <c r="D179" s="50" t="s">
        <v>623</v>
      </c>
      <c r="E179" s="50" t="s">
        <v>621</v>
      </c>
      <c r="F179" s="50" t="s">
        <v>622</v>
      </c>
      <c r="G179" s="57" t="s">
        <v>618</v>
      </c>
      <c r="H179" s="57" t="s">
        <v>290</v>
      </c>
      <c r="I179" s="57" t="s">
        <v>619</v>
      </c>
      <c r="J179" s="57" t="s">
        <v>318</v>
      </c>
      <c r="K179">
        <v>20</v>
      </c>
      <c r="L179" s="70">
        <v>42100</v>
      </c>
    </row>
    <row r="180" spans="1:12" ht="26.4">
      <c r="A180" s="55" t="s">
        <v>620</v>
      </c>
      <c r="B180" s="68">
        <v>21031759</v>
      </c>
      <c r="C180" s="60">
        <v>31247.599999999999</v>
      </c>
      <c r="D180" s="50" t="s">
        <v>624</v>
      </c>
      <c r="E180" s="50" t="s">
        <v>625</v>
      </c>
      <c r="F180" s="58" t="s">
        <v>592</v>
      </c>
      <c r="G180" s="49" t="s">
        <v>626</v>
      </c>
      <c r="H180" t="s">
        <v>290</v>
      </c>
      <c r="I180" t="s">
        <v>146</v>
      </c>
      <c r="J180" s="49" t="s">
        <v>318</v>
      </c>
      <c r="L180" s="70">
        <v>42103</v>
      </c>
    </row>
    <row r="181" spans="1:12" ht="26.4">
      <c r="A181" s="55" t="s">
        <v>564</v>
      </c>
      <c r="B181" s="68">
        <v>20082419</v>
      </c>
      <c r="C181" s="60">
        <v>6480</v>
      </c>
      <c r="D181" s="50" t="s">
        <v>627</v>
      </c>
      <c r="E181" s="50" t="s">
        <v>628</v>
      </c>
      <c r="F181" s="58" t="s">
        <v>592</v>
      </c>
      <c r="G181" s="49" t="s">
        <v>557</v>
      </c>
      <c r="H181" t="s">
        <v>290</v>
      </c>
      <c r="I181" t="s">
        <v>146</v>
      </c>
      <c r="J181" s="49" t="s">
        <v>318</v>
      </c>
      <c r="K181">
        <v>5</v>
      </c>
      <c r="L181" s="70">
        <v>42102</v>
      </c>
    </row>
    <row r="182" spans="1:12" ht="26.4">
      <c r="A182" s="55" t="s">
        <v>629</v>
      </c>
      <c r="B182" s="68">
        <v>17634681</v>
      </c>
      <c r="C182" s="60">
        <v>8000</v>
      </c>
      <c r="D182" s="50" t="s">
        <v>632</v>
      </c>
      <c r="E182" s="58" t="s">
        <v>633</v>
      </c>
      <c r="F182" s="58" t="s">
        <v>592</v>
      </c>
      <c r="G182" s="49" t="s">
        <v>630</v>
      </c>
      <c r="H182">
        <v>358</v>
      </c>
      <c r="I182" s="49" t="s">
        <v>631</v>
      </c>
      <c r="J182" s="49" t="s">
        <v>318</v>
      </c>
      <c r="K182">
        <v>10</v>
      </c>
      <c r="L182" s="70">
        <v>42142</v>
      </c>
    </row>
    <row r="183" spans="1:12" ht="26.4">
      <c r="A183" s="55" t="s">
        <v>634</v>
      </c>
      <c r="B183" s="68">
        <v>25608746</v>
      </c>
      <c r="C183" s="60">
        <v>2000</v>
      </c>
      <c r="D183" s="50" t="s">
        <v>636</v>
      </c>
      <c r="E183" s="58" t="s">
        <v>592</v>
      </c>
      <c r="F183" s="58" t="s">
        <v>592</v>
      </c>
      <c r="G183" s="49" t="s">
        <v>635</v>
      </c>
      <c r="H183">
        <v>656</v>
      </c>
      <c r="I183" s="49" t="s">
        <v>199</v>
      </c>
      <c r="J183" s="49" t="s">
        <v>318</v>
      </c>
      <c r="K183">
        <v>1</v>
      </c>
      <c r="L183" s="70">
        <v>42155</v>
      </c>
    </row>
    <row r="184" spans="1:12" ht="26.4">
      <c r="A184" s="55" t="s">
        <v>637</v>
      </c>
      <c r="B184" s="68">
        <v>36917651</v>
      </c>
      <c r="C184" s="60">
        <v>3200</v>
      </c>
      <c r="D184" s="50" t="s">
        <v>638</v>
      </c>
      <c r="E184" s="50" t="s">
        <v>639</v>
      </c>
      <c r="F184" s="58" t="s">
        <v>614</v>
      </c>
      <c r="G184" s="49" t="s">
        <v>213</v>
      </c>
      <c r="H184">
        <v>471</v>
      </c>
      <c r="I184" s="49" t="s">
        <v>204</v>
      </c>
      <c r="J184" s="49" t="s">
        <v>318</v>
      </c>
      <c r="K184">
        <v>5</v>
      </c>
      <c r="L184" s="70">
        <v>42150</v>
      </c>
    </row>
    <row r="185" spans="1:12" ht="26.4">
      <c r="A185" s="55" t="s">
        <v>642</v>
      </c>
      <c r="B185" s="68">
        <v>17908459</v>
      </c>
      <c r="C185" s="60">
        <v>4940</v>
      </c>
      <c r="D185" s="50" t="s">
        <v>640</v>
      </c>
      <c r="E185" s="50" t="s">
        <v>641</v>
      </c>
      <c r="F185" s="58" t="s">
        <v>542</v>
      </c>
      <c r="G185" s="49" t="s">
        <v>576</v>
      </c>
      <c r="H185" s="49" t="s">
        <v>290</v>
      </c>
      <c r="I185" s="49" t="s">
        <v>566</v>
      </c>
      <c r="J185" s="49" t="s">
        <v>318</v>
      </c>
      <c r="K185">
        <v>10</v>
      </c>
      <c r="L185" s="74">
        <v>42152</v>
      </c>
    </row>
    <row r="186" spans="1:12" ht="26.4">
      <c r="A186" s="55" t="s">
        <v>569</v>
      </c>
      <c r="B186" s="68">
        <v>18105934</v>
      </c>
      <c r="C186" s="60">
        <v>8500</v>
      </c>
      <c r="D186" s="50" t="s">
        <v>643</v>
      </c>
      <c r="E186" s="50" t="s">
        <v>644</v>
      </c>
      <c r="F186" s="58" t="s">
        <v>592</v>
      </c>
      <c r="G186" s="49" t="s">
        <v>570</v>
      </c>
      <c r="H186" t="s">
        <v>148</v>
      </c>
      <c r="I186" s="49" t="s">
        <v>383</v>
      </c>
      <c r="J186" s="49" t="s">
        <v>318</v>
      </c>
      <c r="K186">
        <v>7</v>
      </c>
      <c r="L186" s="74">
        <v>42150</v>
      </c>
    </row>
    <row r="187" spans="1:12" ht="26.4">
      <c r="A187" s="55" t="s">
        <v>645</v>
      </c>
      <c r="B187" s="68">
        <v>32390923</v>
      </c>
      <c r="C187" s="60">
        <v>8524.7999999999993</v>
      </c>
      <c r="D187" s="50" t="s">
        <v>647</v>
      </c>
      <c r="E187" s="50" t="s">
        <v>646</v>
      </c>
      <c r="F187" s="50" t="s">
        <v>648</v>
      </c>
      <c r="G187" s="57" t="s">
        <v>615</v>
      </c>
      <c r="H187" s="57" t="s">
        <v>290</v>
      </c>
      <c r="I187" s="57" t="s">
        <v>424</v>
      </c>
      <c r="J187" s="57" t="s">
        <v>318</v>
      </c>
      <c r="K187">
        <v>20</v>
      </c>
      <c r="L187" s="74">
        <v>42156</v>
      </c>
    </row>
    <row r="188" spans="1:12" ht="26.4">
      <c r="A188" s="55" t="s">
        <v>642</v>
      </c>
      <c r="B188" s="68">
        <v>17908459</v>
      </c>
      <c r="C188" s="60">
        <v>4940</v>
      </c>
      <c r="D188" s="50" t="s">
        <v>649</v>
      </c>
      <c r="E188" s="50" t="s">
        <v>650</v>
      </c>
      <c r="F188" s="58" t="s">
        <v>592</v>
      </c>
      <c r="G188" s="49" t="s">
        <v>576</v>
      </c>
      <c r="H188" t="s">
        <v>148</v>
      </c>
      <c r="I188" s="49" t="s">
        <v>146</v>
      </c>
      <c r="J188" s="49" t="s">
        <v>318</v>
      </c>
      <c r="K188">
        <v>10</v>
      </c>
      <c r="L188" s="74">
        <v>42163</v>
      </c>
    </row>
    <row r="189" spans="1:12" ht="26.4">
      <c r="A189" s="55" t="s">
        <v>569</v>
      </c>
      <c r="B189" s="68">
        <v>18105934</v>
      </c>
      <c r="C189" s="60">
        <v>5000</v>
      </c>
      <c r="D189" s="50" t="s">
        <v>651</v>
      </c>
      <c r="E189" s="58" t="s">
        <v>326</v>
      </c>
      <c r="F189" s="58" t="s">
        <v>592</v>
      </c>
      <c r="G189" s="49" t="s">
        <v>652</v>
      </c>
      <c r="H189" t="s">
        <v>290</v>
      </c>
      <c r="I189" s="49" t="s">
        <v>383</v>
      </c>
      <c r="J189" s="49" t="s">
        <v>318</v>
      </c>
      <c r="K189">
        <v>5</v>
      </c>
      <c r="L189" s="74">
        <v>42163</v>
      </c>
    </row>
    <row r="190" spans="1:12" ht="26.4">
      <c r="A190" s="55" t="s">
        <v>653</v>
      </c>
      <c r="B190" s="68">
        <v>16548826</v>
      </c>
      <c r="C190" s="60">
        <v>3000</v>
      </c>
      <c r="D190" s="50" t="s">
        <v>654</v>
      </c>
      <c r="E190" s="50" t="s">
        <v>655</v>
      </c>
      <c r="F190" s="58" t="s">
        <v>592</v>
      </c>
      <c r="G190" s="49" t="s">
        <v>656</v>
      </c>
      <c r="H190" t="s">
        <v>290</v>
      </c>
      <c r="I190" s="49" t="s">
        <v>566</v>
      </c>
      <c r="J190" s="49" t="s">
        <v>318</v>
      </c>
      <c r="K190">
        <v>15</v>
      </c>
      <c r="L190" s="74">
        <v>42165</v>
      </c>
    </row>
    <row r="191" spans="1:12" ht="26.4">
      <c r="A191" s="55" t="s">
        <v>657</v>
      </c>
      <c r="B191" s="68">
        <v>17908467</v>
      </c>
      <c r="C191" s="60">
        <v>11500</v>
      </c>
      <c r="D191" s="50" t="s">
        <v>658</v>
      </c>
      <c r="E191" s="50" t="s">
        <v>659</v>
      </c>
      <c r="F191" s="50" t="s">
        <v>661</v>
      </c>
      <c r="G191" s="57" t="s">
        <v>660</v>
      </c>
      <c r="H191" s="57" t="s">
        <v>148</v>
      </c>
      <c r="I191" s="57" t="s">
        <v>146</v>
      </c>
      <c r="J191" s="57" t="s">
        <v>318</v>
      </c>
      <c r="K191">
        <v>15</v>
      </c>
      <c r="L191" s="70">
        <v>42171</v>
      </c>
    </row>
    <row r="192" spans="1:12" ht="26.4">
      <c r="A192" s="55" t="s">
        <v>603</v>
      </c>
      <c r="B192" s="68">
        <v>6698429</v>
      </c>
      <c r="C192" s="60">
        <v>66000</v>
      </c>
      <c r="D192" s="50" t="s">
        <v>662</v>
      </c>
      <c r="E192" s="50" t="s">
        <v>663</v>
      </c>
      <c r="F192" s="58" t="s">
        <v>614</v>
      </c>
      <c r="G192" s="49" t="s">
        <v>599</v>
      </c>
      <c r="H192" t="s">
        <v>148</v>
      </c>
      <c r="I192" s="49" t="s">
        <v>146</v>
      </c>
      <c r="J192" s="49" t="s">
        <v>318</v>
      </c>
      <c r="K192">
        <v>20</v>
      </c>
      <c r="L192" s="74">
        <v>42170</v>
      </c>
    </row>
    <row r="193" spans="1:12" ht="26.4">
      <c r="A193" s="55" t="s">
        <v>664</v>
      </c>
      <c r="B193" s="68">
        <v>20082419</v>
      </c>
      <c r="C193" s="60">
        <v>10940</v>
      </c>
      <c r="D193" s="50" t="s">
        <v>665</v>
      </c>
      <c r="E193" s="50" t="s">
        <v>666</v>
      </c>
      <c r="F193" s="50" t="s">
        <v>667</v>
      </c>
      <c r="G193" s="57" t="s">
        <v>576</v>
      </c>
      <c r="H193" s="57" t="s">
        <v>668</v>
      </c>
      <c r="I193" s="57" t="s">
        <v>566</v>
      </c>
      <c r="J193" s="57" t="s">
        <v>318</v>
      </c>
      <c r="K193">
        <v>15</v>
      </c>
      <c r="L193" s="74">
        <v>42173</v>
      </c>
    </row>
    <row r="194" spans="1:12" ht="26.4">
      <c r="A194" s="55" t="s">
        <v>669</v>
      </c>
      <c r="B194" s="68">
        <v>32390923</v>
      </c>
      <c r="C194" s="60">
        <v>5540</v>
      </c>
      <c r="D194" s="50" t="s">
        <v>671</v>
      </c>
      <c r="E194" s="50" t="s">
        <v>670</v>
      </c>
      <c r="F194" s="58" t="s">
        <v>614</v>
      </c>
      <c r="G194" s="49" t="s">
        <v>615</v>
      </c>
      <c r="H194" t="s">
        <v>148</v>
      </c>
      <c r="I194" s="49" t="s">
        <v>424</v>
      </c>
      <c r="J194" s="49" t="s">
        <v>318</v>
      </c>
      <c r="K194">
        <v>15</v>
      </c>
      <c r="L194" s="74">
        <v>42174</v>
      </c>
    </row>
    <row r="195" spans="1:12" ht="26.4">
      <c r="A195" s="55" t="s">
        <v>637</v>
      </c>
      <c r="B195" s="68">
        <v>36917651</v>
      </c>
      <c r="C195" s="60">
        <v>7700</v>
      </c>
      <c r="D195" s="50" t="s">
        <v>672</v>
      </c>
      <c r="E195" s="50" t="s">
        <v>673</v>
      </c>
      <c r="F195" s="58" t="s">
        <v>614</v>
      </c>
      <c r="G195" s="57" t="s">
        <v>213</v>
      </c>
      <c r="H195">
        <v>471</v>
      </c>
      <c r="I195" s="57" t="s">
        <v>146</v>
      </c>
      <c r="J195" s="57" t="s">
        <v>318</v>
      </c>
      <c r="K195">
        <v>21</v>
      </c>
      <c r="L195" s="74">
        <v>42249</v>
      </c>
    </row>
    <row r="196" spans="1:12" ht="26.4">
      <c r="A196" s="55" t="s">
        <v>674</v>
      </c>
      <c r="B196" s="68">
        <v>28837107</v>
      </c>
      <c r="C196" s="60">
        <v>3500</v>
      </c>
      <c r="D196" s="50" t="s">
        <v>675</v>
      </c>
      <c r="E196" s="50" t="s">
        <v>676</v>
      </c>
      <c r="F196" s="58" t="s">
        <v>592</v>
      </c>
      <c r="G196" s="49" t="s">
        <v>677</v>
      </c>
      <c r="H196" t="s">
        <v>148</v>
      </c>
      <c r="I196" s="49" t="s">
        <v>146</v>
      </c>
      <c r="J196" s="49" t="s">
        <v>318</v>
      </c>
      <c r="K196">
        <v>7</v>
      </c>
      <c r="L196" s="74">
        <v>42254</v>
      </c>
    </row>
    <row r="197" spans="1:12" ht="26.4">
      <c r="A197" s="55" t="s">
        <v>678</v>
      </c>
      <c r="B197" s="68">
        <v>12019959</v>
      </c>
      <c r="C197" s="60">
        <v>34620</v>
      </c>
      <c r="D197" s="50" t="s">
        <v>680</v>
      </c>
      <c r="E197" s="58" t="s">
        <v>326</v>
      </c>
      <c r="F197" s="58" t="s">
        <v>592</v>
      </c>
      <c r="G197" s="57" t="s">
        <v>679</v>
      </c>
      <c r="H197" t="s">
        <v>148</v>
      </c>
      <c r="I197" s="57" t="s">
        <v>204</v>
      </c>
      <c r="J197" s="57" t="s">
        <v>318</v>
      </c>
      <c r="K197">
        <v>40</v>
      </c>
      <c r="L197" s="74">
        <v>42254</v>
      </c>
    </row>
    <row r="198" spans="1:12" ht="26.4">
      <c r="A198" s="55" t="s">
        <v>545</v>
      </c>
      <c r="B198" s="68">
        <v>18595248</v>
      </c>
      <c r="C198" s="60">
        <v>600</v>
      </c>
      <c r="D198" s="50" t="s">
        <v>681</v>
      </c>
      <c r="E198" s="50" t="s">
        <v>682</v>
      </c>
      <c r="F198" s="58" t="s">
        <v>592</v>
      </c>
      <c r="G198" s="49" t="s">
        <v>683</v>
      </c>
      <c r="H198" t="s">
        <v>148</v>
      </c>
      <c r="I198" s="49" t="s">
        <v>146</v>
      </c>
      <c r="J198" s="49" t="s">
        <v>318</v>
      </c>
      <c r="K198">
        <v>2</v>
      </c>
      <c r="L198" s="74">
        <v>42258</v>
      </c>
    </row>
    <row r="199" spans="1:12" ht="26.4">
      <c r="A199" s="55" t="s">
        <v>684</v>
      </c>
      <c r="B199" s="68">
        <v>23398044</v>
      </c>
      <c r="C199" s="60">
        <v>1000</v>
      </c>
      <c r="D199" s="50" t="s">
        <v>685</v>
      </c>
      <c r="E199" s="58" t="s">
        <v>326</v>
      </c>
      <c r="F199" s="58" t="s">
        <v>592</v>
      </c>
      <c r="G199" s="57" t="s">
        <v>191</v>
      </c>
      <c r="H199">
        <v>201</v>
      </c>
      <c r="I199" s="57" t="s">
        <v>146</v>
      </c>
      <c r="J199" s="57" t="s">
        <v>318</v>
      </c>
      <c r="K199">
        <v>4</v>
      </c>
      <c r="L199" s="74">
        <v>42264</v>
      </c>
    </row>
    <row r="200" spans="1:12" ht="26.4">
      <c r="A200" s="55" t="s">
        <v>686</v>
      </c>
      <c r="B200" s="68">
        <v>20888908</v>
      </c>
      <c r="C200" s="60">
        <v>1500</v>
      </c>
      <c r="D200" s="50" t="s">
        <v>687</v>
      </c>
      <c r="E200" s="58" t="s">
        <v>326</v>
      </c>
      <c r="F200" s="58" t="s">
        <v>614</v>
      </c>
      <c r="G200" s="49" t="s">
        <v>688</v>
      </c>
      <c r="H200" t="s">
        <v>148</v>
      </c>
      <c r="I200" s="49" t="s">
        <v>146</v>
      </c>
      <c r="J200" s="49" t="s">
        <v>318</v>
      </c>
      <c r="K200">
        <v>5</v>
      </c>
      <c r="L200" s="74">
        <v>42261</v>
      </c>
    </row>
    <row r="201" spans="1:12" ht="26.4">
      <c r="A201" s="55" t="s">
        <v>695</v>
      </c>
      <c r="B201" s="68">
        <v>25105459</v>
      </c>
      <c r="C201" s="60">
        <v>11420</v>
      </c>
      <c r="D201" s="50" t="s">
        <v>697</v>
      </c>
      <c r="E201" s="50" t="s">
        <v>696</v>
      </c>
      <c r="F201" s="58" t="s">
        <v>614</v>
      </c>
      <c r="G201" s="57" t="s">
        <v>566</v>
      </c>
      <c r="H201" t="s">
        <v>148</v>
      </c>
      <c r="I201" s="57" t="s">
        <v>146</v>
      </c>
      <c r="J201" s="57" t="s">
        <v>318</v>
      </c>
      <c r="K201">
        <v>20</v>
      </c>
      <c r="L201" s="74">
        <v>42269</v>
      </c>
    </row>
    <row r="202" spans="1:12" ht="26.4">
      <c r="A202" s="55" t="s">
        <v>689</v>
      </c>
      <c r="B202" s="68">
        <v>17816910</v>
      </c>
      <c r="C202" s="60">
        <v>840</v>
      </c>
      <c r="D202" s="50" t="s">
        <v>690</v>
      </c>
      <c r="E202" s="50" t="s">
        <v>691</v>
      </c>
      <c r="F202" s="58" t="s">
        <v>592</v>
      </c>
      <c r="G202" s="49" t="s">
        <v>688</v>
      </c>
      <c r="H202">
        <v>64</v>
      </c>
      <c r="I202" s="49" t="s">
        <v>146</v>
      </c>
      <c r="J202" s="49" t="s">
        <v>318</v>
      </c>
      <c r="K202">
        <v>10</v>
      </c>
      <c r="L202" s="74">
        <v>42255</v>
      </c>
    </row>
    <row r="203" spans="1:12" ht="26.4">
      <c r="A203" s="55" t="s">
        <v>689</v>
      </c>
      <c r="B203" s="68">
        <v>17816910</v>
      </c>
      <c r="C203" s="60">
        <v>1800</v>
      </c>
      <c r="D203" s="50" t="s">
        <v>692</v>
      </c>
      <c r="E203" t="s">
        <v>693</v>
      </c>
      <c r="F203" s="50" t="s">
        <v>694</v>
      </c>
      <c r="G203" s="57" t="s">
        <v>688</v>
      </c>
      <c r="H203">
        <v>64</v>
      </c>
      <c r="I203" s="57" t="s">
        <v>146</v>
      </c>
      <c r="J203" s="57" t="s">
        <v>318</v>
      </c>
      <c r="K203">
        <v>15</v>
      </c>
      <c r="L203" s="74">
        <v>42250</v>
      </c>
    </row>
    <row r="204" spans="1:12" ht="26.4">
      <c r="A204" s="55" t="s">
        <v>698</v>
      </c>
      <c r="B204" s="68">
        <v>22214698</v>
      </c>
      <c r="C204" s="60">
        <v>19500</v>
      </c>
      <c r="D204" s="50" t="s">
        <v>699</v>
      </c>
      <c r="E204" s="69" t="s">
        <v>326</v>
      </c>
      <c r="F204" s="58" t="s">
        <v>592</v>
      </c>
      <c r="G204" s="49" t="s">
        <v>700</v>
      </c>
      <c r="H204" t="s">
        <v>148</v>
      </c>
      <c r="I204" s="49" t="s">
        <v>679</v>
      </c>
      <c r="J204" s="49" t="s">
        <v>318</v>
      </c>
      <c r="K204">
        <v>3</v>
      </c>
      <c r="L204" s="70">
        <v>42268</v>
      </c>
    </row>
    <row r="205" spans="1:12" ht="26.4">
      <c r="A205" s="55" t="s">
        <v>701</v>
      </c>
      <c r="B205" s="68">
        <v>23398053</v>
      </c>
      <c r="C205" s="60">
        <v>3000</v>
      </c>
      <c r="D205" s="50" t="s">
        <v>702</v>
      </c>
      <c r="E205" t="s">
        <v>703</v>
      </c>
      <c r="F205" s="58" t="s">
        <v>592</v>
      </c>
      <c r="G205" s="57" t="s">
        <v>213</v>
      </c>
      <c r="H205">
        <v>195</v>
      </c>
      <c r="I205" s="57" t="s">
        <v>146</v>
      </c>
      <c r="J205" s="57" t="s">
        <v>318</v>
      </c>
      <c r="K205">
        <v>6</v>
      </c>
      <c r="L205" s="70">
        <v>42278</v>
      </c>
    </row>
    <row r="206" spans="1:12" ht="26.4">
      <c r="A206" s="55" t="s">
        <v>686</v>
      </c>
      <c r="B206" s="68">
        <v>20888908</v>
      </c>
      <c r="C206" s="60">
        <v>1800</v>
      </c>
      <c r="D206" s="50" t="s">
        <v>705</v>
      </c>
      <c r="E206" t="s">
        <v>706</v>
      </c>
      <c r="F206" s="58" t="s">
        <v>592</v>
      </c>
      <c r="G206" s="49" t="s">
        <v>704</v>
      </c>
      <c r="H206" t="s">
        <v>290</v>
      </c>
      <c r="I206" s="49" t="s">
        <v>146</v>
      </c>
      <c r="J206" s="49" t="s">
        <v>318</v>
      </c>
      <c r="K206">
        <v>4</v>
      </c>
      <c r="L206" s="70">
        <v>42282</v>
      </c>
    </row>
    <row r="207" spans="1:12" ht="26.4">
      <c r="A207" s="55" t="s">
        <v>707</v>
      </c>
      <c r="B207" s="68">
        <v>31230172</v>
      </c>
      <c r="C207" s="60">
        <v>2940</v>
      </c>
      <c r="D207" s="50" t="s">
        <v>708</v>
      </c>
      <c r="E207" s="69" t="s">
        <v>326</v>
      </c>
      <c r="F207" s="58" t="s">
        <v>592</v>
      </c>
      <c r="G207" s="57" t="s">
        <v>709</v>
      </c>
      <c r="H207" t="s">
        <v>148</v>
      </c>
      <c r="I207" s="57" t="s">
        <v>383</v>
      </c>
      <c r="J207" s="57" t="s">
        <v>318</v>
      </c>
      <c r="K207">
        <v>7</v>
      </c>
      <c r="L207" s="70">
        <v>42278</v>
      </c>
    </row>
    <row r="208" spans="1:12" ht="26.4">
      <c r="A208" s="55" t="s">
        <v>710</v>
      </c>
      <c r="B208" s="68">
        <v>39474912</v>
      </c>
      <c r="C208" s="60">
        <v>665</v>
      </c>
      <c r="D208" s="50" t="s">
        <v>711</v>
      </c>
      <c r="E208" s="69" t="s">
        <v>326</v>
      </c>
      <c r="F208" s="58" t="s">
        <v>592</v>
      </c>
      <c r="G208" s="49" t="s">
        <v>712</v>
      </c>
      <c r="H208">
        <v>133</v>
      </c>
      <c r="I208" s="49" t="s">
        <v>146</v>
      </c>
      <c r="J208" s="49" t="s">
        <v>318</v>
      </c>
      <c r="K208">
        <v>3</v>
      </c>
      <c r="L208" s="70">
        <v>42286</v>
      </c>
    </row>
    <row r="209" spans="1:12" ht="26.4">
      <c r="A209" s="55" t="s">
        <v>713</v>
      </c>
      <c r="B209" s="68">
        <v>30063218</v>
      </c>
      <c r="C209" s="60">
        <v>2100</v>
      </c>
      <c r="D209" s="50" t="s">
        <v>714</v>
      </c>
      <c r="E209" s="69" t="s">
        <v>326</v>
      </c>
      <c r="F209" s="58" t="s">
        <v>592</v>
      </c>
      <c r="G209" s="57" t="s">
        <v>715</v>
      </c>
      <c r="H209" t="s">
        <v>148</v>
      </c>
      <c r="I209" s="57" t="s">
        <v>716</v>
      </c>
      <c r="J209" s="57" t="s">
        <v>318</v>
      </c>
      <c r="K209">
        <v>3</v>
      </c>
      <c r="L209" s="70">
        <v>42282</v>
      </c>
    </row>
    <row r="210" spans="1:12" ht="26.4">
      <c r="A210" s="55" t="s">
        <v>637</v>
      </c>
      <c r="B210" s="68">
        <v>36917651</v>
      </c>
      <c r="C210" s="60">
        <v>5320</v>
      </c>
      <c r="D210" s="50" t="s">
        <v>718</v>
      </c>
      <c r="E210" t="s">
        <v>717</v>
      </c>
      <c r="F210" s="58" t="s">
        <v>592</v>
      </c>
      <c r="G210" s="49" t="s">
        <v>213</v>
      </c>
      <c r="H210">
        <v>471</v>
      </c>
      <c r="I210" s="49" t="s">
        <v>146</v>
      </c>
      <c r="J210" s="49" t="s">
        <v>318</v>
      </c>
      <c r="K210">
        <v>20</v>
      </c>
      <c r="L210" s="70">
        <v>42290</v>
      </c>
    </row>
    <row r="211" spans="1:12" ht="26.4">
      <c r="A211" s="48" t="s">
        <v>229</v>
      </c>
      <c r="B211" s="24">
        <v>6699842</v>
      </c>
      <c r="C211" s="51">
        <f>12000+3500</f>
        <v>15500</v>
      </c>
      <c r="D211" s="50" t="s">
        <v>719</v>
      </c>
      <c r="E211" s="58" t="s">
        <v>720</v>
      </c>
      <c r="F211" s="50" t="s">
        <v>721</v>
      </c>
      <c r="G211" s="49" t="s">
        <v>232</v>
      </c>
      <c r="H211" s="49">
        <v>130</v>
      </c>
      <c r="I211" t="s">
        <v>199</v>
      </c>
      <c r="J211" s="49" t="s">
        <v>163</v>
      </c>
      <c r="K211">
        <v>1</v>
      </c>
      <c r="L211" s="74">
        <v>42343</v>
      </c>
    </row>
    <row r="212" spans="1:12" ht="26.4">
      <c r="A212" s="48" t="s">
        <v>722</v>
      </c>
      <c r="B212" s="24">
        <v>5263017</v>
      </c>
      <c r="C212" s="51">
        <v>3000</v>
      </c>
      <c r="D212" s="50" t="s">
        <v>723</v>
      </c>
      <c r="E212" s="58" t="s">
        <v>724</v>
      </c>
      <c r="F212" s="50" t="s">
        <v>721</v>
      </c>
      <c r="G212" s="49" t="s">
        <v>725</v>
      </c>
      <c r="H212" s="49">
        <v>995</v>
      </c>
      <c r="I212" t="s">
        <v>199</v>
      </c>
      <c r="J212" s="49" t="s">
        <v>163</v>
      </c>
      <c r="K212">
        <v>1</v>
      </c>
      <c r="L212" s="74">
        <v>42343</v>
      </c>
    </row>
    <row r="213" spans="1:12" ht="26.4">
      <c r="A213" s="48" t="s">
        <v>726</v>
      </c>
      <c r="B213" s="24">
        <v>12209453</v>
      </c>
      <c r="C213" s="51">
        <v>14000</v>
      </c>
      <c r="D213" s="50" t="s">
        <v>727</v>
      </c>
      <c r="E213" s="58" t="s">
        <v>724</v>
      </c>
      <c r="F213" s="50" t="s">
        <v>721</v>
      </c>
      <c r="G213" s="49" t="s">
        <v>728</v>
      </c>
      <c r="H213" s="49">
        <v>330</v>
      </c>
      <c r="I213" t="s">
        <v>199</v>
      </c>
      <c r="J213" s="49" t="s">
        <v>163</v>
      </c>
      <c r="K213">
        <v>1</v>
      </c>
      <c r="L213" s="74">
        <v>42343</v>
      </c>
    </row>
    <row r="214" spans="1:12" ht="26.4">
      <c r="A214" s="55" t="s">
        <v>729</v>
      </c>
      <c r="B214" s="68">
        <v>30941397</v>
      </c>
      <c r="C214" s="60">
        <v>54000</v>
      </c>
      <c r="D214" s="75" t="s">
        <v>730</v>
      </c>
      <c r="E214" s="50" t="s">
        <v>731</v>
      </c>
      <c r="F214" s="58" t="s">
        <v>592</v>
      </c>
      <c r="G214" s="49" t="s">
        <v>605</v>
      </c>
      <c r="H214" s="49">
        <v>345</v>
      </c>
      <c r="I214" s="49" t="s">
        <v>199</v>
      </c>
      <c r="J214" s="49" t="s">
        <v>318</v>
      </c>
      <c r="K214">
        <v>20</v>
      </c>
      <c r="L214" s="70">
        <v>42404</v>
      </c>
    </row>
    <row r="215" spans="1:12" ht="26.4">
      <c r="A215" s="55" t="s">
        <v>732</v>
      </c>
      <c r="B215" s="76">
        <v>10821561</v>
      </c>
      <c r="C215" s="61" t="s">
        <v>736</v>
      </c>
      <c r="D215" s="57" t="s">
        <v>733</v>
      </c>
      <c r="E215" s="50" t="s">
        <v>734</v>
      </c>
      <c r="F215" s="50" t="s">
        <v>737</v>
      </c>
      <c r="G215" s="50" t="s">
        <v>735</v>
      </c>
      <c r="H215" s="49">
        <v>359</v>
      </c>
      <c r="I215" s="50" t="s">
        <v>146</v>
      </c>
      <c r="J215" s="49" t="s">
        <v>318</v>
      </c>
      <c r="K215">
        <v>365</v>
      </c>
      <c r="L215" s="70">
        <v>42370</v>
      </c>
    </row>
    <row r="216" spans="1:12" ht="26.4">
      <c r="A216" s="55" t="s">
        <v>695</v>
      </c>
      <c r="B216" s="67">
        <v>25105459</v>
      </c>
      <c r="C216" s="60">
        <v>24320</v>
      </c>
      <c r="D216" s="57" t="s">
        <v>739</v>
      </c>
      <c r="E216" s="50" t="s">
        <v>738</v>
      </c>
      <c r="F216" s="58" t="s">
        <v>592</v>
      </c>
      <c r="G216" s="49" t="s">
        <v>740</v>
      </c>
      <c r="H216" t="s">
        <v>148</v>
      </c>
      <c r="I216" s="49" t="s">
        <v>146</v>
      </c>
      <c r="J216" s="49" t="s">
        <v>318</v>
      </c>
      <c r="K216">
        <v>15</v>
      </c>
      <c r="L216" s="70">
        <v>42464</v>
      </c>
    </row>
    <row r="217" spans="1:12">
      <c r="A217" s="55"/>
    </row>
    <row r="218" spans="1:12">
      <c r="A218" s="55"/>
    </row>
    <row r="219" spans="1:12">
      <c r="A219" s="55"/>
    </row>
  </sheetData>
  <autoFilter ref="A1:K213"/>
  <sortState ref="A2:J41">
    <sortCondition ref="A2:A41"/>
  </sortState>
  <dataValidations disablePrompts="1" count="1">
    <dataValidation type="list" allowBlank="1" showInputMessage="1" showErrorMessage="1" sqref="A4:A5 A27:A28 A49 A59 A62">
      <formula1>personal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2"/>
  <dimension ref="A1:AA265"/>
  <sheetViews>
    <sheetView workbookViewId="0">
      <selection activeCell="A21" sqref="A21"/>
    </sheetView>
  </sheetViews>
  <sheetFormatPr baseColWidth="10" defaultRowHeight="13.2"/>
  <cols>
    <col min="1" max="1" width="28" customWidth="1"/>
    <col min="2" max="2" width="37.109375" customWidth="1"/>
    <col min="3" max="3" width="21.5546875" customWidth="1"/>
  </cols>
  <sheetData>
    <row r="1" spans="1:27">
      <c r="A1" s="11" t="s">
        <v>0</v>
      </c>
      <c r="B1" s="11" t="s">
        <v>118</v>
      </c>
      <c r="C1" s="11" t="s">
        <v>1</v>
      </c>
    </row>
    <row r="2" spans="1:27" ht="19.2">
      <c r="A2" s="41" t="s">
        <v>82</v>
      </c>
      <c r="B2" s="40" t="s">
        <v>121</v>
      </c>
      <c r="C2" s="39">
        <v>250</v>
      </c>
      <c r="D2" s="39"/>
      <c r="E2" s="39"/>
      <c r="F2" s="39"/>
      <c r="G2" s="39"/>
      <c r="H2" s="39"/>
      <c r="I2" s="39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</row>
    <row r="3" spans="1:27" ht="19.2">
      <c r="A3" s="37" t="s">
        <v>75</v>
      </c>
      <c r="B3" s="36" t="s">
        <v>120</v>
      </c>
      <c r="C3" s="38">
        <v>1000</v>
      </c>
      <c r="D3" s="40"/>
      <c r="E3" s="40"/>
      <c r="F3" s="40"/>
      <c r="G3" s="40"/>
      <c r="H3" s="40"/>
      <c r="I3" s="40"/>
      <c r="J3" s="41"/>
      <c r="K3" s="41"/>
      <c r="L3" s="41"/>
      <c r="M3" s="41"/>
      <c r="N3" s="41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</row>
    <row r="4" spans="1:27" ht="19.2">
      <c r="A4" s="20"/>
      <c r="B4" s="19"/>
      <c r="C4" s="18"/>
      <c r="D4" s="41"/>
      <c r="E4" s="41"/>
      <c r="F4" s="41"/>
      <c r="G4" s="41"/>
      <c r="H4" s="41"/>
      <c r="I4" s="41"/>
      <c r="J4" s="36"/>
      <c r="K4" s="36"/>
      <c r="L4" s="36"/>
      <c r="M4" s="36"/>
      <c r="N4" s="36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</row>
    <row r="5" spans="1:27" ht="19.2">
      <c r="A5" s="9"/>
      <c r="B5" s="8"/>
      <c r="C5" s="10"/>
      <c r="D5" s="38"/>
      <c r="E5" s="38"/>
      <c r="F5" s="38"/>
      <c r="G5" s="38"/>
      <c r="H5" s="38"/>
      <c r="I5" s="38"/>
      <c r="J5" s="37"/>
      <c r="K5" s="37"/>
      <c r="L5" s="37"/>
      <c r="M5" s="37"/>
      <c r="N5" s="37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</row>
    <row r="6" spans="1:27" ht="19.2">
      <c r="A6" s="9"/>
      <c r="B6" s="8"/>
      <c r="C6" s="10"/>
      <c r="D6" s="36"/>
      <c r="E6" s="36"/>
      <c r="F6" s="36"/>
      <c r="G6" s="36"/>
      <c r="H6" s="36"/>
      <c r="I6" s="36"/>
      <c r="J6" s="19"/>
      <c r="K6" s="19"/>
      <c r="L6" s="19"/>
      <c r="M6" s="19"/>
      <c r="N6" s="19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</row>
    <row r="7" spans="1:27" ht="19.2">
      <c r="A7" s="9"/>
      <c r="B7" s="8"/>
      <c r="C7" s="10"/>
      <c r="D7" s="37"/>
      <c r="E7" s="37"/>
      <c r="F7" s="37"/>
      <c r="G7" s="37"/>
      <c r="H7" s="37"/>
      <c r="I7" s="37"/>
      <c r="J7" s="20"/>
      <c r="K7" s="20"/>
      <c r="L7" s="20"/>
      <c r="M7" s="20"/>
      <c r="N7" s="20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1:27" ht="19.2">
      <c r="A8" s="9"/>
      <c r="B8" s="8"/>
      <c r="C8" s="10"/>
      <c r="D8" s="18"/>
      <c r="E8" s="18"/>
      <c r="F8" s="18"/>
      <c r="G8" s="18"/>
      <c r="H8" s="18"/>
      <c r="I8" s="1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</row>
    <row r="9" spans="1:27" ht="19.2">
      <c r="A9" s="9"/>
      <c r="B9" s="8"/>
      <c r="C9" s="10"/>
      <c r="D9" s="19"/>
      <c r="E9" s="19"/>
      <c r="F9" s="19"/>
      <c r="G9" s="19"/>
      <c r="H9" s="19"/>
      <c r="I9" s="19"/>
      <c r="J9" s="9"/>
      <c r="K9" s="9"/>
      <c r="L9" s="9"/>
      <c r="M9" s="9"/>
      <c r="N9" s="9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1:27" ht="19.2">
      <c r="A10" s="9"/>
      <c r="B10" s="8"/>
      <c r="C10" s="10"/>
      <c r="D10" s="20"/>
      <c r="E10" s="20"/>
      <c r="F10" s="20"/>
      <c r="G10" s="20"/>
      <c r="H10" s="20"/>
      <c r="I10" s="20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</row>
    <row r="11" spans="1:27" ht="19.2">
      <c r="A11" s="9"/>
      <c r="B11" s="8"/>
      <c r="C11" s="10"/>
      <c r="D11" s="10"/>
      <c r="E11" s="10"/>
      <c r="F11" s="10"/>
      <c r="G11" s="10"/>
      <c r="H11" s="10"/>
      <c r="I11" s="10"/>
      <c r="J11" s="9"/>
      <c r="K11" s="9"/>
      <c r="L11" s="9"/>
      <c r="M11" s="9"/>
      <c r="N11" s="9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</row>
    <row r="12" spans="1:27" ht="19.2">
      <c r="A12" s="9"/>
      <c r="B12" s="8"/>
      <c r="C12" s="10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</row>
    <row r="13" spans="1:27" ht="19.2">
      <c r="A13" s="9"/>
      <c r="B13" s="8"/>
      <c r="C13" s="10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</row>
    <row r="14" spans="1:27" ht="19.2">
      <c r="A14" s="9"/>
      <c r="B14" s="8"/>
      <c r="C14" s="10"/>
      <c r="D14" s="10"/>
      <c r="E14" s="10"/>
      <c r="F14" s="10"/>
      <c r="G14" s="10"/>
      <c r="H14" s="10"/>
      <c r="I14" s="10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</row>
    <row r="15" spans="1:27" ht="19.2">
      <c r="A15" s="9"/>
      <c r="B15" s="8"/>
      <c r="C15" s="10"/>
      <c r="D15" s="8"/>
      <c r="E15" s="8"/>
      <c r="F15" s="8"/>
      <c r="G15" s="8"/>
      <c r="H15" s="8"/>
      <c r="I15" s="8"/>
      <c r="J15" s="9"/>
      <c r="K15" s="9"/>
      <c r="L15" s="9"/>
      <c r="M15" s="9"/>
      <c r="N15" s="9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</row>
    <row r="16" spans="1:27" ht="19.2">
      <c r="A16" s="9"/>
      <c r="B16" s="8"/>
      <c r="C16" s="10"/>
      <c r="D16" s="9"/>
      <c r="E16" s="9"/>
      <c r="F16" s="9"/>
      <c r="G16" s="9"/>
      <c r="H16" s="9"/>
      <c r="I16" s="9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</row>
    <row r="17" spans="1:27" ht="19.2">
      <c r="A17" s="9"/>
      <c r="B17" s="8"/>
      <c r="C17" s="10"/>
      <c r="D17" s="10"/>
      <c r="E17" s="10"/>
      <c r="F17" s="10"/>
      <c r="G17" s="10"/>
      <c r="H17" s="10"/>
      <c r="I17" s="10"/>
      <c r="J17" s="9"/>
      <c r="K17" s="9"/>
      <c r="L17" s="9"/>
      <c r="M17" s="9"/>
      <c r="N17" s="9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</row>
    <row r="18" spans="1:27" ht="19.2">
      <c r="A18" s="9"/>
      <c r="B18" s="8"/>
      <c r="C18" s="10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</row>
    <row r="19" spans="1:27" ht="19.2">
      <c r="A19" s="9"/>
      <c r="B19" s="8"/>
      <c r="C19" s="10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</row>
    <row r="20" spans="1:27" ht="19.2">
      <c r="A20" s="9"/>
      <c r="B20" s="8"/>
      <c r="C20" s="10"/>
      <c r="D20" s="10"/>
      <c r="E20" s="10"/>
      <c r="F20" s="10"/>
      <c r="G20" s="10"/>
      <c r="H20" s="10"/>
      <c r="I20" s="10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</row>
    <row r="21" spans="1:27" ht="19.2">
      <c r="A21" s="9"/>
      <c r="B21" s="8"/>
      <c r="C21" s="10"/>
      <c r="D21" s="8"/>
      <c r="E21" s="8"/>
      <c r="F21" s="8"/>
      <c r="G21" s="8"/>
      <c r="H21" s="8"/>
      <c r="I21" s="8"/>
      <c r="J21" s="9"/>
      <c r="K21" s="9"/>
      <c r="L21" s="9"/>
      <c r="M21" s="9"/>
      <c r="N21" s="9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</row>
    <row r="22" spans="1:27" ht="19.2">
      <c r="A22" s="9"/>
      <c r="B22" s="8"/>
      <c r="C22" s="10"/>
      <c r="D22" s="9"/>
      <c r="E22" s="9"/>
      <c r="F22" s="9"/>
      <c r="G22" s="9"/>
      <c r="H22" s="9"/>
      <c r="I22" s="9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</row>
    <row r="23" spans="1:27" ht="19.2">
      <c r="A23" s="9"/>
      <c r="B23" s="8"/>
      <c r="C23" s="10"/>
      <c r="D23" s="10"/>
      <c r="E23" s="10"/>
      <c r="F23" s="10"/>
      <c r="G23" s="10"/>
      <c r="H23" s="10"/>
      <c r="I23" s="10"/>
      <c r="J23" s="9"/>
      <c r="K23" s="9"/>
      <c r="L23" s="9"/>
      <c r="M23" s="9"/>
      <c r="N23" s="9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</row>
    <row r="24" spans="1:27" ht="19.2">
      <c r="A24" s="9"/>
      <c r="B24" s="8"/>
      <c r="C24" s="10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</row>
    <row r="25" spans="1:27" ht="19.2">
      <c r="A25" s="9"/>
      <c r="B25" s="8"/>
      <c r="C25" s="10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</row>
    <row r="26" spans="1:27" ht="19.2">
      <c r="A26" s="9"/>
      <c r="B26" s="8"/>
      <c r="C26" s="10"/>
      <c r="D26" s="10"/>
      <c r="E26" s="10"/>
      <c r="F26" s="10"/>
      <c r="G26" s="10"/>
      <c r="H26" s="10"/>
      <c r="I26" s="10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</row>
    <row r="27" spans="1:27" ht="19.2">
      <c r="A27" s="9"/>
      <c r="B27" s="8"/>
      <c r="C27" s="10"/>
      <c r="D27" s="8"/>
      <c r="E27" s="8"/>
      <c r="F27" s="8"/>
      <c r="G27" s="8"/>
      <c r="H27" s="8"/>
      <c r="I27" s="8"/>
      <c r="J27" s="9"/>
      <c r="K27" s="9"/>
      <c r="L27" s="9"/>
      <c r="M27" s="9"/>
      <c r="N27" s="9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</row>
    <row r="28" spans="1:27" ht="19.2">
      <c r="A28" s="9"/>
      <c r="B28" s="8"/>
      <c r="C28" s="10"/>
      <c r="D28" s="9"/>
      <c r="E28" s="9"/>
      <c r="F28" s="9"/>
      <c r="G28" s="9"/>
      <c r="H28" s="9"/>
      <c r="I28" s="9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</row>
    <row r="29" spans="1:27" ht="19.2">
      <c r="A29" s="9"/>
      <c r="B29" s="8"/>
      <c r="C29" s="10"/>
      <c r="D29" s="10"/>
      <c r="E29" s="10"/>
      <c r="F29" s="10"/>
      <c r="G29" s="10"/>
      <c r="H29" s="10"/>
      <c r="I29" s="10"/>
      <c r="J29" s="9"/>
      <c r="K29" s="9"/>
      <c r="L29" s="9"/>
      <c r="M29" s="9"/>
      <c r="N29" s="9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</row>
    <row r="30" spans="1:27" ht="19.2">
      <c r="A30" s="9"/>
      <c r="B30" s="8"/>
      <c r="C30" s="10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</row>
    <row r="31" spans="1:27" ht="19.2">
      <c r="A31" s="9"/>
      <c r="B31" s="8"/>
      <c r="C31" s="10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</row>
    <row r="32" spans="1:27" ht="19.2">
      <c r="A32" s="9"/>
      <c r="B32" s="8"/>
      <c r="C32" s="10"/>
      <c r="D32" s="10"/>
      <c r="E32" s="10"/>
      <c r="F32" s="10"/>
      <c r="G32" s="10"/>
      <c r="H32" s="10"/>
      <c r="I32" s="10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</row>
    <row r="33" spans="1:27" ht="19.2">
      <c r="A33" s="9"/>
      <c r="B33" s="8"/>
      <c r="C33" s="10"/>
      <c r="D33" s="8"/>
      <c r="E33" s="8"/>
      <c r="F33" s="8"/>
      <c r="G33" s="8"/>
      <c r="H33" s="8"/>
      <c r="I33" s="8"/>
      <c r="J33" s="9"/>
      <c r="K33" s="9"/>
      <c r="L33" s="9"/>
      <c r="M33" s="9"/>
      <c r="N33" s="9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</row>
    <row r="34" spans="1:27" ht="19.2">
      <c r="A34" s="9"/>
      <c r="B34" s="8"/>
      <c r="C34" s="10"/>
      <c r="D34" s="9"/>
      <c r="E34" s="9"/>
      <c r="F34" s="9"/>
      <c r="G34" s="9"/>
      <c r="H34" s="9"/>
      <c r="I34" s="9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</row>
    <row r="35" spans="1:27" ht="19.2">
      <c r="A35" s="9"/>
      <c r="B35" s="8"/>
      <c r="C35" s="10"/>
      <c r="D35" s="10"/>
      <c r="E35" s="10"/>
      <c r="F35" s="10"/>
      <c r="G35" s="10"/>
      <c r="H35" s="10"/>
      <c r="I35" s="10"/>
      <c r="J35" s="9"/>
      <c r="K35" s="9"/>
      <c r="L35" s="9"/>
      <c r="M35" s="9"/>
      <c r="N35" s="9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</row>
    <row r="36" spans="1:27" ht="19.2">
      <c r="A36" s="9"/>
      <c r="B36" s="8"/>
      <c r="C36" s="10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</row>
    <row r="37" spans="1:27" ht="19.2">
      <c r="A37" s="9"/>
      <c r="B37" s="8"/>
      <c r="C37" s="10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</row>
    <row r="38" spans="1:27" ht="19.2">
      <c r="A38" s="9"/>
      <c r="B38" s="8"/>
      <c r="C38" s="10"/>
      <c r="D38" s="10"/>
      <c r="E38" s="10"/>
      <c r="F38" s="10"/>
      <c r="G38" s="10"/>
      <c r="H38" s="10"/>
      <c r="I38" s="10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</row>
    <row r="39" spans="1:27" ht="19.2">
      <c r="A39" s="9"/>
      <c r="B39" s="8"/>
      <c r="C39" s="10"/>
      <c r="D39" s="8"/>
      <c r="E39" s="8"/>
      <c r="F39" s="8"/>
      <c r="G39" s="8"/>
      <c r="H39" s="8"/>
      <c r="I39" s="8"/>
      <c r="J39" s="9"/>
      <c r="K39" s="9"/>
      <c r="L39" s="9"/>
      <c r="M39" s="9"/>
      <c r="N39" s="9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</row>
    <row r="40" spans="1:27" ht="19.2">
      <c r="A40" s="9"/>
      <c r="B40" s="8"/>
      <c r="C40" s="10"/>
      <c r="D40" s="9"/>
      <c r="E40" s="9"/>
      <c r="F40" s="9"/>
      <c r="G40" s="9"/>
      <c r="H40" s="9"/>
      <c r="I40" s="9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</row>
    <row r="41" spans="1:27" ht="19.2">
      <c r="A41" s="9"/>
      <c r="B41" s="8"/>
      <c r="C41" s="10"/>
      <c r="D41" s="10"/>
      <c r="E41" s="10"/>
      <c r="F41" s="10"/>
      <c r="G41" s="10"/>
      <c r="H41" s="10"/>
      <c r="I41" s="10"/>
      <c r="J41" s="9"/>
      <c r="K41" s="9"/>
      <c r="L41" s="9"/>
      <c r="M41" s="9"/>
      <c r="N41" s="9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</row>
    <row r="42" spans="1:27" ht="19.2">
      <c r="A42" s="9"/>
      <c r="B42" s="8"/>
      <c r="C42" s="10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</row>
    <row r="43" spans="1:27" ht="19.2">
      <c r="A43" s="9"/>
      <c r="B43" s="8"/>
      <c r="C43" s="10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</row>
    <row r="44" spans="1:27" ht="19.2">
      <c r="A44" s="9"/>
      <c r="B44" s="8"/>
      <c r="C44" s="10"/>
      <c r="D44" s="10"/>
      <c r="E44" s="10"/>
      <c r="F44" s="10"/>
      <c r="G44" s="10"/>
      <c r="H44" s="10"/>
      <c r="I44" s="10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</row>
    <row r="45" spans="1:27" ht="19.2">
      <c r="A45" s="9"/>
      <c r="B45" s="8"/>
      <c r="C45" s="10"/>
      <c r="D45" s="8"/>
      <c r="E45" s="8"/>
      <c r="F45" s="8"/>
      <c r="G45" s="8"/>
      <c r="H45" s="8"/>
      <c r="I45" s="8"/>
      <c r="J45" s="9"/>
      <c r="K45" s="9"/>
      <c r="L45" s="9"/>
      <c r="M45" s="9"/>
      <c r="N45" s="9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</row>
    <row r="46" spans="1:27" ht="19.2">
      <c r="A46" s="9"/>
      <c r="B46" s="8"/>
      <c r="C46" s="10"/>
      <c r="D46" s="9"/>
      <c r="E46" s="9"/>
      <c r="F46" s="9"/>
      <c r="G46" s="9"/>
      <c r="H46" s="9"/>
      <c r="I46" s="9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</row>
    <row r="47" spans="1:27" ht="19.2">
      <c r="A47" s="9"/>
      <c r="B47" s="8"/>
      <c r="C47" s="10"/>
      <c r="D47" s="10"/>
      <c r="E47" s="10"/>
      <c r="F47" s="10"/>
      <c r="G47" s="10"/>
      <c r="H47" s="10"/>
      <c r="I47" s="10"/>
      <c r="J47" s="9"/>
      <c r="K47" s="9"/>
      <c r="L47" s="9"/>
      <c r="M47" s="9"/>
      <c r="N47" s="9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</row>
    <row r="48" spans="1:27" ht="19.2">
      <c r="A48" s="9"/>
      <c r="B48" s="8"/>
      <c r="C48" s="10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</row>
    <row r="49" spans="1:27" ht="19.2">
      <c r="A49" s="9"/>
      <c r="B49" s="8"/>
      <c r="C49" s="10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</row>
    <row r="50" spans="1:27" ht="19.2">
      <c r="A50" s="9"/>
      <c r="B50" s="8"/>
      <c r="C50" s="10"/>
      <c r="D50" s="10"/>
      <c r="E50" s="10"/>
      <c r="F50" s="10"/>
      <c r="G50" s="10"/>
      <c r="H50" s="10"/>
      <c r="I50" s="10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</row>
    <row r="51" spans="1:27" ht="19.2">
      <c r="A51" s="9"/>
      <c r="B51" s="8"/>
      <c r="C51" s="10"/>
      <c r="D51" s="8"/>
      <c r="E51" s="8"/>
      <c r="F51" s="8"/>
      <c r="G51" s="8"/>
      <c r="H51" s="8"/>
      <c r="I51" s="8"/>
      <c r="J51" s="9"/>
      <c r="K51" s="9"/>
      <c r="L51" s="9"/>
      <c r="M51" s="9"/>
      <c r="N51" s="9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</row>
    <row r="52" spans="1:27" ht="19.2">
      <c r="A52" s="9"/>
      <c r="B52" s="8"/>
      <c r="C52" s="10"/>
      <c r="D52" s="9"/>
      <c r="E52" s="9"/>
      <c r="F52" s="9"/>
      <c r="G52" s="9"/>
      <c r="H52" s="9"/>
      <c r="I52" s="9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</row>
    <row r="53" spans="1:27" ht="19.2">
      <c r="A53" s="9"/>
      <c r="B53" s="8"/>
      <c r="C53" s="10"/>
      <c r="D53" s="10"/>
      <c r="E53" s="10"/>
      <c r="F53" s="10"/>
      <c r="G53" s="10"/>
      <c r="H53" s="10"/>
      <c r="I53" s="10"/>
      <c r="J53" s="9"/>
      <c r="K53" s="9"/>
      <c r="L53" s="9"/>
      <c r="M53" s="9"/>
      <c r="N53" s="9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</row>
    <row r="54" spans="1:27" ht="19.2">
      <c r="A54" s="9"/>
      <c r="B54" s="8"/>
      <c r="C54" s="10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</row>
    <row r="55" spans="1:27" ht="19.2">
      <c r="A55" s="9"/>
      <c r="B55" s="8"/>
      <c r="C55" s="10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</row>
    <row r="56" spans="1:27" ht="19.2">
      <c r="A56" s="35"/>
      <c r="B56" s="8"/>
      <c r="C56" s="10"/>
      <c r="D56" s="10"/>
      <c r="E56" s="10"/>
      <c r="F56" s="10"/>
      <c r="G56" s="10"/>
      <c r="H56" s="10"/>
      <c r="I56" s="10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</row>
    <row r="57" spans="1:27" ht="19.2">
      <c r="A57" s="9"/>
      <c r="B57" s="8"/>
      <c r="C57" s="10"/>
      <c r="D57" s="8"/>
      <c r="E57" s="8"/>
      <c r="F57" s="8"/>
      <c r="G57" s="8"/>
      <c r="H57" s="8"/>
      <c r="I57" s="8"/>
      <c r="J57" s="9"/>
      <c r="K57" s="9"/>
      <c r="L57" s="9"/>
      <c r="M57" s="9"/>
      <c r="N57" s="9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</row>
    <row r="58" spans="1:27" ht="19.2">
      <c r="A58" s="9"/>
      <c r="B58" s="8"/>
      <c r="C58" s="10"/>
      <c r="D58" s="9"/>
      <c r="E58" s="9"/>
      <c r="F58" s="9"/>
      <c r="G58" s="9"/>
      <c r="H58" s="9"/>
      <c r="I58" s="9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</row>
    <row r="59" spans="1:27" ht="19.2">
      <c r="A59" s="9"/>
      <c r="B59" s="8"/>
      <c r="C59" s="10"/>
      <c r="D59" s="10"/>
      <c r="E59" s="10"/>
      <c r="F59" s="10"/>
      <c r="G59" s="10"/>
      <c r="H59" s="10"/>
      <c r="I59" s="10"/>
      <c r="J59" s="9"/>
      <c r="K59" s="9"/>
      <c r="L59" s="9"/>
      <c r="M59" s="9"/>
      <c r="N59" s="9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</row>
    <row r="60" spans="1:27" ht="19.2">
      <c r="A60" s="9"/>
      <c r="B60" s="8"/>
      <c r="C60" s="10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</row>
    <row r="61" spans="1:27" ht="19.2">
      <c r="A61" s="9"/>
      <c r="B61" s="8"/>
      <c r="C61" s="10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</row>
    <row r="62" spans="1:27" ht="19.2">
      <c r="A62" s="9"/>
      <c r="B62" s="8"/>
      <c r="C62" s="10"/>
      <c r="D62" s="10"/>
      <c r="E62" s="10"/>
      <c r="F62" s="10"/>
      <c r="G62" s="10"/>
      <c r="H62" s="10"/>
      <c r="I62" s="10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</row>
    <row r="63" spans="1:27" ht="19.2">
      <c r="A63" s="9"/>
      <c r="B63" s="8"/>
      <c r="C63" s="10"/>
      <c r="D63" s="8"/>
      <c r="E63" s="8"/>
      <c r="F63" s="8"/>
      <c r="G63" s="8"/>
      <c r="H63" s="8"/>
      <c r="I63" s="8"/>
      <c r="J63" s="9"/>
      <c r="K63" s="9"/>
      <c r="L63" s="9"/>
      <c r="M63" s="9"/>
      <c r="N63" s="9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</row>
    <row r="64" spans="1:27" ht="19.2">
      <c r="A64" s="9"/>
      <c r="B64" s="8"/>
      <c r="C64" s="10"/>
      <c r="D64" s="9"/>
      <c r="E64" s="9"/>
      <c r="F64" s="9"/>
      <c r="G64" s="9"/>
      <c r="H64" s="9"/>
      <c r="I64" s="9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</row>
    <row r="65" spans="1:27" ht="19.2">
      <c r="A65" s="9"/>
      <c r="B65" s="8"/>
      <c r="C65" s="10"/>
      <c r="D65" s="10"/>
      <c r="E65" s="10"/>
      <c r="F65" s="10"/>
      <c r="G65" s="10"/>
      <c r="H65" s="10"/>
      <c r="I65" s="10"/>
      <c r="J65" s="9"/>
      <c r="K65" s="9"/>
      <c r="L65" s="9"/>
      <c r="M65" s="9"/>
      <c r="N65" s="9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</row>
    <row r="66" spans="1:27" ht="19.2">
      <c r="A66" s="9"/>
      <c r="B66" s="8"/>
      <c r="C66" s="10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</row>
    <row r="67" spans="1:27" ht="19.2">
      <c r="A67" s="9"/>
      <c r="B67" s="8"/>
      <c r="C67" s="10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</row>
    <row r="68" spans="1:27" ht="19.2">
      <c r="A68" s="9"/>
      <c r="B68" s="8"/>
      <c r="C68" s="10"/>
      <c r="D68" s="10"/>
      <c r="E68" s="10"/>
      <c r="F68" s="10"/>
      <c r="G68" s="10"/>
      <c r="H68" s="10"/>
      <c r="I68" s="10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</row>
    <row r="69" spans="1:27" ht="19.2">
      <c r="A69" s="9"/>
      <c r="B69" s="8"/>
      <c r="C69" s="10"/>
      <c r="D69" s="8"/>
      <c r="E69" s="8"/>
      <c r="F69" s="8"/>
      <c r="G69" s="8"/>
      <c r="H69" s="8"/>
      <c r="I69" s="8"/>
      <c r="J69" s="9"/>
      <c r="K69" s="9"/>
      <c r="L69" s="9"/>
      <c r="M69" s="9"/>
      <c r="N69" s="9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</row>
    <row r="70" spans="1:27" ht="19.2">
      <c r="A70" s="9"/>
      <c r="B70" s="8"/>
      <c r="C70" s="10"/>
      <c r="D70" s="9"/>
      <c r="E70" s="9"/>
      <c r="F70" s="9"/>
      <c r="G70" s="9"/>
      <c r="H70" s="9"/>
      <c r="I70" s="9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</row>
    <row r="71" spans="1:27" ht="19.2">
      <c r="A71" s="9"/>
      <c r="B71" s="8"/>
      <c r="C71" s="10"/>
      <c r="D71" s="10"/>
      <c r="E71" s="10"/>
      <c r="F71" s="10"/>
      <c r="G71" s="10"/>
      <c r="H71" s="10"/>
      <c r="I71" s="10"/>
      <c r="J71" s="9"/>
      <c r="K71" s="9"/>
      <c r="L71" s="9"/>
      <c r="M71" s="9"/>
      <c r="N71" s="9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</row>
    <row r="72" spans="1:27" ht="19.2">
      <c r="A72" s="9"/>
      <c r="B72" s="8"/>
      <c r="C72" s="10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</row>
    <row r="73" spans="1:27" ht="19.2">
      <c r="A73" s="9"/>
      <c r="B73" s="8"/>
      <c r="C73" s="10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</row>
    <row r="74" spans="1:27" ht="19.2">
      <c r="A74" s="9"/>
      <c r="B74" s="8"/>
      <c r="C74" s="10"/>
      <c r="D74" s="10"/>
      <c r="E74" s="10"/>
      <c r="F74" s="10"/>
      <c r="G74" s="10"/>
      <c r="H74" s="10"/>
      <c r="I74" s="10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</row>
    <row r="75" spans="1:27" ht="19.2">
      <c r="A75" s="9"/>
      <c r="B75" s="8"/>
      <c r="C75" s="10"/>
      <c r="D75" s="8"/>
      <c r="E75" s="8"/>
      <c r="F75" s="8"/>
      <c r="G75" s="8"/>
      <c r="H75" s="8"/>
      <c r="I75" s="8"/>
      <c r="J75" s="9"/>
      <c r="K75" s="9"/>
      <c r="L75" s="9"/>
      <c r="M75" s="9"/>
      <c r="N75" s="9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</row>
    <row r="76" spans="1:27" ht="19.2">
      <c r="A76" s="9"/>
      <c r="B76" s="8"/>
      <c r="C76" s="10"/>
      <c r="D76" s="9"/>
      <c r="E76" s="9"/>
      <c r="F76" s="9"/>
      <c r="G76" s="9"/>
      <c r="H76" s="9"/>
      <c r="I76" s="9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</row>
    <row r="77" spans="1:27" ht="19.2">
      <c r="A77" s="9"/>
      <c r="B77" s="8"/>
      <c r="C77" s="10"/>
      <c r="D77" s="10"/>
      <c r="E77" s="10"/>
      <c r="F77" s="10"/>
      <c r="G77" s="10"/>
      <c r="H77" s="10"/>
      <c r="I77" s="10"/>
      <c r="J77" s="9"/>
      <c r="K77" s="9"/>
      <c r="L77" s="9"/>
      <c r="M77" s="9"/>
      <c r="N77" s="9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</row>
    <row r="78" spans="1:27" ht="19.2">
      <c r="A78" s="9"/>
      <c r="B78" s="8"/>
      <c r="C78" s="10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</row>
    <row r="79" spans="1:27" ht="19.2">
      <c r="A79" s="9"/>
      <c r="B79" s="8"/>
      <c r="C79" s="10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</row>
    <row r="80" spans="1:27" ht="19.2">
      <c r="A80" s="9"/>
      <c r="B80" s="8"/>
      <c r="C80" s="10"/>
      <c r="D80" s="10"/>
      <c r="E80" s="10"/>
      <c r="F80" s="10"/>
      <c r="G80" s="10"/>
      <c r="H80" s="10"/>
      <c r="I80" s="10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</row>
    <row r="81" spans="1:27" ht="19.2">
      <c r="A81" s="9"/>
      <c r="B81" s="8"/>
      <c r="C81" s="10"/>
      <c r="D81" s="8"/>
      <c r="E81" s="8"/>
      <c r="F81" s="8"/>
      <c r="G81" s="8"/>
      <c r="H81" s="8"/>
      <c r="I81" s="8"/>
      <c r="J81" s="9"/>
      <c r="K81" s="9"/>
      <c r="L81" s="9"/>
      <c r="M81" s="9"/>
      <c r="N81" s="9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</row>
    <row r="82" spans="1:27" ht="19.2">
      <c r="A82" s="9"/>
      <c r="B82" s="8"/>
      <c r="C82" s="10"/>
      <c r="D82" s="9"/>
      <c r="E82" s="9"/>
      <c r="F82" s="9"/>
      <c r="G82" s="9"/>
      <c r="H82" s="9"/>
      <c r="I82" s="9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</row>
    <row r="83" spans="1:27" ht="19.2">
      <c r="A83" s="9"/>
      <c r="B83" s="8"/>
      <c r="C83" s="10"/>
      <c r="D83" s="10"/>
      <c r="E83" s="10"/>
      <c r="F83" s="10"/>
      <c r="G83" s="10"/>
      <c r="H83" s="10"/>
      <c r="I83" s="10"/>
      <c r="J83" s="9"/>
      <c r="K83" s="9"/>
      <c r="L83" s="9"/>
      <c r="M83" s="9"/>
      <c r="N83" s="9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</row>
    <row r="84" spans="1:27" ht="19.2">
      <c r="A84" s="35"/>
      <c r="B84" s="8"/>
      <c r="C84" s="10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</row>
    <row r="85" spans="1:27" ht="19.2">
      <c r="A85" s="9"/>
      <c r="B85" s="8"/>
      <c r="C85" s="10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</row>
    <row r="86" spans="1:27" ht="19.2">
      <c r="A86" s="9"/>
      <c r="B86" s="8"/>
      <c r="C86" s="10"/>
      <c r="D86" s="10"/>
      <c r="E86" s="10"/>
      <c r="F86" s="10"/>
      <c r="G86" s="10"/>
      <c r="H86" s="10"/>
      <c r="I86" s="10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</row>
    <row r="87" spans="1:27" ht="19.2">
      <c r="A87" s="9"/>
      <c r="B87" s="8"/>
      <c r="C87" s="10"/>
      <c r="D87" s="8"/>
      <c r="E87" s="8"/>
      <c r="F87" s="8"/>
      <c r="G87" s="8"/>
      <c r="H87" s="8"/>
      <c r="I87" s="8"/>
      <c r="J87" s="9"/>
      <c r="K87" s="9"/>
      <c r="L87" s="9"/>
      <c r="M87" s="9"/>
      <c r="N87" s="9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</row>
    <row r="88" spans="1:27" ht="19.2">
      <c r="A88" s="9"/>
      <c r="B88" s="8"/>
      <c r="C88" s="10"/>
      <c r="D88" s="9"/>
      <c r="E88" s="9"/>
      <c r="F88" s="9"/>
      <c r="G88" s="9"/>
      <c r="H88" s="9"/>
      <c r="I88" s="9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</row>
    <row r="89" spans="1:27" ht="19.2">
      <c r="A89" s="9"/>
      <c r="B89" s="8"/>
      <c r="C89" s="10"/>
      <c r="D89" s="10"/>
      <c r="E89" s="10"/>
      <c r="F89" s="10"/>
      <c r="G89" s="10"/>
      <c r="H89" s="10"/>
      <c r="I89" s="10"/>
      <c r="J89" s="9"/>
      <c r="K89" s="9"/>
      <c r="L89" s="9"/>
      <c r="M89" s="9"/>
      <c r="N89" s="9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</row>
    <row r="90" spans="1:27" ht="19.2">
      <c r="C90" s="34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</row>
    <row r="91" spans="1:27" ht="19.2"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</row>
    <row r="92" spans="1:27" ht="19.2">
      <c r="D92" s="10"/>
      <c r="E92" s="10"/>
      <c r="F92" s="10"/>
      <c r="G92" s="10"/>
      <c r="H92" s="10"/>
      <c r="I92" s="10"/>
      <c r="J92" s="8"/>
      <c r="K92" s="8"/>
      <c r="L92" s="8"/>
      <c r="M92" s="8"/>
      <c r="N92" s="8"/>
    </row>
    <row r="93" spans="1:27" ht="19.2">
      <c r="D93" s="8"/>
      <c r="E93" s="8"/>
      <c r="F93" s="8"/>
      <c r="G93" s="8"/>
      <c r="H93" s="8"/>
      <c r="I93" s="8"/>
      <c r="J93" s="9"/>
      <c r="K93" s="9"/>
      <c r="L93" s="9"/>
      <c r="M93" s="9"/>
      <c r="N93" s="9"/>
    </row>
    <row r="94" spans="1:27" ht="19.2">
      <c r="D94" s="9"/>
      <c r="E94" s="9"/>
      <c r="F94" s="9"/>
      <c r="G94" s="9"/>
      <c r="H94" s="9"/>
      <c r="I94" s="9"/>
      <c r="J94" s="8"/>
      <c r="K94" s="8"/>
      <c r="L94" s="8"/>
      <c r="M94" s="8"/>
      <c r="N94" s="8"/>
    </row>
    <row r="95" spans="1:27" ht="19.2">
      <c r="D95" s="10"/>
      <c r="E95" s="10"/>
      <c r="F95" s="10"/>
      <c r="G95" s="10"/>
      <c r="H95" s="10"/>
      <c r="I95" s="10"/>
      <c r="J95" s="9"/>
      <c r="K95" s="9"/>
      <c r="L95" s="9"/>
      <c r="M95" s="9"/>
      <c r="N95" s="9"/>
    </row>
    <row r="96" spans="1:27" ht="19.2"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</row>
    <row r="97" spans="4:14" ht="19.2"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</row>
    <row r="98" spans="4:14" ht="19.2">
      <c r="D98" s="10"/>
      <c r="E98" s="10"/>
      <c r="F98" s="10"/>
      <c r="G98" s="10"/>
      <c r="H98" s="10"/>
      <c r="I98" s="10"/>
      <c r="J98" s="8"/>
      <c r="K98" s="8"/>
      <c r="L98" s="8"/>
      <c r="M98" s="8"/>
      <c r="N98" s="8"/>
    </row>
    <row r="99" spans="4:14" ht="19.2">
      <c r="D99" s="8"/>
      <c r="E99" s="8"/>
      <c r="F99" s="8"/>
      <c r="G99" s="8"/>
      <c r="H99" s="8"/>
      <c r="I99" s="8"/>
      <c r="J99" s="9"/>
      <c r="K99" s="9"/>
      <c r="L99" s="9"/>
      <c r="M99" s="9"/>
      <c r="N99" s="9"/>
    </row>
    <row r="100" spans="4:14" ht="19.2">
      <c r="D100" s="9"/>
      <c r="E100" s="9"/>
      <c r="F100" s="9"/>
      <c r="G100" s="9"/>
      <c r="H100" s="9"/>
      <c r="I100" s="9"/>
      <c r="J100" s="8"/>
      <c r="K100" s="8"/>
      <c r="L100" s="8"/>
      <c r="M100" s="8"/>
      <c r="N100" s="8"/>
    </row>
    <row r="101" spans="4:14" ht="19.2">
      <c r="D101" s="10"/>
      <c r="E101" s="10"/>
      <c r="F101" s="10"/>
      <c r="G101" s="10"/>
      <c r="H101" s="10"/>
      <c r="I101" s="10"/>
      <c r="J101" s="9"/>
      <c r="K101" s="9"/>
      <c r="L101" s="9"/>
      <c r="M101" s="9"/>
      <c r="N101" s="9"/>
    </row>
    <row r="102" spans="4:14" ht="19.2"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</row>
    <row r="103" spans="4:14" ht="19.2"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</row>
    <row r="104" spans="4:14" ht="19.2">
      <c r="D104" s="10"/>
      <c r="E104" s="10"/>
      <c r="F104" s="10"/>
      <c r="G104" s="10"/>
      <c r="H104" s="10"/>
      <c r="I104" s="10"/>
      <c r="J104" s="8"/>
      <c r="K104" s="8"/>
      <c r="L104" s="8"/>
      <c r="M104" s="8"/>
      <c r="N104" s="8"/>
    </row>
    <row r="105" spans="4:14" ht="19.2">
      <c r="D105" s="8"/>
      <c r="E105" s="8"/>
      <c r="F105" s="8"/>
      <c r="G105" s="8"/>
      <c r="H105" s="8"/>
      <c r="I105" s="8"/>
      <c r="J105" s="9"/>
      <c r="K105" s="9"/>
      <c r="L105" s="9"/>
      <c r="M105" s="9"/>
      <c r="N105" s="9"/>
    </row>
    <row r="106" spans="4:14" ht="19.2">
      <c r="D106" s="9"/>
      <c r="E106" s="9"/>
      <c r="F106" s="9"/>
      <c r="G106" s="9"/>
      <c r="H106" s="9"/>
      <c r="I106" s="9"/>
      <c r="J106" s="8"/>
      <c r="K106" s="8"/>
      <c r="L106" s="8"/>
      <c r="M106" s="8"/>
      <c r="N106" s="8"/>
    </row>
    <row r="107" spans="4:14" ht="19.2">
      <c r="D107" s="10"/>
      <c r="E107" s="10"/>
      <c r="F107" s="10"/>
      <c r="G107" s="10"/>
      <c r="H107" s="10"/>
      <c r="I107" s="10"/>
      <c r="J107" s="9"/>
      <c r="K107" s="9"/>
      <c r="L107" s="9"/>
      <c r="M107" s="9"/>
      <c r="N107" s="9"/>
    </row>
    <row r="108" spans="4:14" ht="19.2"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</row>
    <row r="109" spans="4:14" ht="19.2"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</row>
    <row r="110" spans="4:14" ht="19.2">
      <c r="D110" s="10"/>
      <c r="E110" s="10"/>
      <c r="F110" s="10"/>
      <c r="G110" s="10"/>
      <c r="H110" s="10"/>
      <c r="I110" s="10"/>
      <c r="J110" s="8"/>
      <c r="K110" s="8"/>
      <c r="L110" s="8"/>
      <c r="M110" s="8"/>
      <c r="N110" s="8"/>
    </row>
    <row r="111" spans="4:14" ht="19.2">
      <c r="D111" s="8"/>
      <c r="E111" s="8"/>
      <c r="F111" s="8"/>
      <c r="G111" s="8"/>
      <c r="H111" s="8"/>
      <c r="I111" s="8"/>
      <c r="J111" s="9"/>
      <c r="K111" s="9"/>
      <c r="L111" s="9"/>
      <c r="M111" s="9"/>
      <c r="N111" s="9"/>
    </row>
    <row r="112" spans="4:14" ht="19.2">
      <c r="D112" s="9"/>
      <c r="E112" s="9"/>
      <c r="F112" s="9"/>
      <c r="G112" s="9"/>
      <c r="H112" s="9"/>
      <c r="I112" s="9"/>
      <c r="J112" s="8"/>
      <c r="K112" s="8"/>
      <c r="L112" s="8"/>
      <c r="M112" s="8"/>
      <c r="N112" s="8"/>
    </row>
    <row r="113" spans="4:14" ht="19.2">
      <c r="D113" s="10"/>
      <c r="E113" s="10"/>
      <c r="F113" s="10"/>
      <c r="G113" s="10"/>
      <c r="H113" s="10"/>
      <c r="I113" s="10"/>
      <c r="J113" s="9"/>
      <c r="K113" s="9"/>
      <c r="L113" s="9"/>
      <c r="M113" s="9"/>
      <c r="N113" s="9"/>
    </row>
    <row r="114" spans="4:14" ht="19.2"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</row>
    <row r="115" spans="4:14" ht="19.2"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</row>
    <row r="116" spans="4:14" ht="19.2">
      <c r="D116" s="10"/>
      <c r="E116" s="10"/>
      <c r="F116" s="10"/>
      <c r="G116" s="10"/>
      <c r="H116" s="10"/>
      <c r="I116" s="10"/>
      <c r="J116" s="8"/>
      <c r="K116" s="8"/>
      <c r="L116" s="8"/>
      <c r="M116" s="8"/>
      <c r="N116" s="8"/>
    </row>
    <row r="117" spans="4:14" ht="19.2">
      <c r="D117" s="8"/>
      <c r="E117" s="8"/>
      <c r="F117" s="8"/>
      <c r="G117" s="8"/>
      <c r="H117" s="8"/>
      <c r="I117" s="8"/>
      <c r="J117" s="9"/>
      <c r="K117" s="9"/>
      <c r="L117" s="9"/>
      <c r="M117" s="9"/>
      <c r="N117" s="9"/>
    </row>
    <row r="118" spans="4:14" ht="19.2">
      <c r="D118" s="9"/>
      <c r="E118" s="9"/>
      <c r="F118" s="9"/>
      <c r="G118" s="9"/>
      <c r="H118" s="9"/>
      <c r="I118" s="9"/>
      <c r="J118" s="8"/>
      <c r="K118" s="8"/>
      <c r="L118" s="8"/>
      <c r="M118" s="8"/>
      <c r="N118" s="8"/>
    </row>
    <row r="119" spans="4:14" ht="19.2">
      <c r="D119" s="10"/>
      <c r="E119" s="10"/>
      <c r="F119" s="10"/>
      <c r="G119" s="10"/>
      <c r="H119" s="10"/>
      <c r="I119" s="10"/>
      <c r="J119" s="9"/>
      <c r="K119" s="9"/>
      <c r="L119" s="9"/>
      <c r="M119" s="9"/>
      <c r="N119" s="9"/>
    </row>
    <row r="120" spans="4:14" ht="19.2"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</row>
    <row r="121" spans="4:14" ht="19.2"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</row>
    <row r="122" spans="4:14" ht="19.2">
      <c r="D122" s="10"/>
      <c r="E122" s="10"/>
      <c r="F122" s="10"/>
      <c r="G122" s="10"/>
      <c r="H122" s="10"/>
      <c r="I122" s="10"/>
      <c r="J122" s="8"/>
      <c r="K122" s="8"/>
      <c r="L122" s="8"/>
      <c r="M122" s="8"/>
      <c r="N122" s="8"/>
    </row>
    <row r="123" spans="4:14" ht="19.2">
      <c r="D123" s="8"/>
      <c r="E123" s="8"/>
      <c r="F123" s="8"/>
      <c r="G123" s="8"/>
      <c r="H123" s="8"/>
      <c r="I123" s="8"/>
      <c r="J123" s="9"/>
      <c r="K123" s="9"/>
      <c r="L123" s="9"/>
      <c r="M123" s="9"/>
      <c r="N123" s="9"/>
    </row>
    <row r="124" spans="4:14" ht="19.2">
      <c r="D124" s="9"/>
      <c r="E124" s="9"/>
      <c r="F124" s="9"/>
      <c r="G124" s="9"/>
      <c r="H124" s="9"/>
      <c r="I124" s="9"/>
      <c r="J124" s="8"/>
      <c r="K124" s="8"/>
      <c r="L124" s="8"/>
      <c r="M124" s="8"/>
      <c r="N124" s="8"/>
    </row>
    <row r="125" spans="4:14" ht="19.2">
      <c r="D125" s="10"/>
      <c r="E125" s="10"/>
      <c r="F125" s="10"/>
      <c r="G125" s="10"/>
      <c r="H125" s="10"/>
      <c r="I125" s="10"/>
      <c r="J125" s="9"/>
      <c r="K125" s="9"/>
      <c r="L125" s="9"/>
      <c r="M125" s="9"/>
      <c r="N125" s="9"/>
    </row>
    <row r="126" spans="4:14" ht="19.2"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</row>
    <row r="127" spans="4:14" ht="19.2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</row>
    <row r="128" spans="4:14" ht="19.2">
      <c r="D128" s="10"/>
      <c r="E128" s="10"/>
      <c r="F128" s="10"/>
      <c r="G128" s="10"/>
      <c r="H128" s="10"/>
      <c r="I128" s="10"/>
      <c r="J128" s="8"/>
      <c r="K128" s="8"/>
      <c r="L128" s="8"/>
      <c r="M128" s="8"/>
      <c r="N128" s="8"/>
    </row>
    <row r="129" spans="4:14" ht="19.2">
      <c r="D129" s="8"/>
      <c r="E129" s="8"/>
      <c r="F129" s="8"/>
      <c r="G129" s="8"/>
      <c r="H129" s="8"/>
      <c r="I129" s="8"/>
      <c r="J129" s="9"/>
      <c r="K129" s="9"/>
      <c r="L129" s="9"/>
      <c r="M129" s="9"/>
      <c r="N129" s="9"/>
    </row>
    <row r="130" spans="4:14" ht="19.2">
      <c r="D130" s="9"/>
      <c r="E130" s="9"/>
      <c r="F130" s="9"/>
      <c r="G130" s="9"/>
      <c r="H130" s="9"/>
      <c r="I130" s="9"/>
      <c r="J130" s="8"/>
      <c r="K130" s="8"/>
      <c r="L130" s="8"/>
      <c r="M130" s="8"/>
      <c r="N130" s="8"/>
    </row>
    <row r="131" spans="4:14" ht="19.2">
      <c r="D131" s="10"/>
      <c r="E131" s="10"/>
      <c r="F131" s="10"/>
      <c r="G131" s="10"/>
      <c r="H131" s="10"/>
      <c r="I131" s="10"/>
      <c r="J131" s="9"/>
      <c r="K131" s="9"/>
      <c r="L131" s="9"/>
      <c r="M131" s="9"/>
      <c r="N131" s="9"/>
    </row>
    <row r="132" spans="4:14" ht="19.2"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</row>
    <row r="133" spans="4:14" ht="19.2"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</row>
    <row r="134" spans="4:14" ht="19.2">
      <c r="D134" s="10"/>
      <c r="E134" s="10"/>
      <c r="F134" s="10"/>
      <c r="G134" s="10"/>
      <c r="H134" s="10"/>
      <c r="I134" s="10"/>
      <c r="J134" s="8"/>
      <c r="K134" s="8"/>
      <c r="L134" s="8"/>
      <c r="M134" s="8"/>
      <c r="N134" s="8"/>
    </row>
    <row r="135" spans="4:14" ht="19.2">
      <c r="D135" s="8"/>
      <c r="E135" s="8"/>
      <c r="F135" s="8"/>
      <c r="G135" s="8"/>
      <c r="H135" s="8"/>
      <c r="I135" s="8"/>
      <c r="J135" s="9"/>
      <c r="K135" s="9"/>
      <c r="L135" s="9"/>
      <c r="M135" s="9"/>
      <c r="N135" s="9"/>
    </row>
    <row r="136" spans="4:14" ht="19.2">
      <c r="D136" s="9"/>
      <c r="E136" s="9"/>
      <c r="F136" s="9"/>
      <c r="G136" s="9"/>
      <c r="H136" s="9"/>
      <c r="I136" s="9"/>
      <c r="J136" s="8"/>
      <c r="K136" s="8"/>
      <c r="L136" s="8"/>
      <c r="M136" s="8"/>
      <c r="N136" s="8"/>
    </row>
    <row r="137" spans="4:14" ht="19.2">
      <c r="D137" s="10"/>
      <c r="E137" s="10"/>
      <c r="F137" s="10"/>
      <c r="G137" s="10"/>
      <c r="H137" s="10"/>
      <c r="I137" s="10"/>
      <c r="J137" s="9"/>
      <c r="K137" s="9"/>
      <c r="L137" s="9"/>
      <c r="M137" s="9"/>
      <c r="N137" s="9"/>
    </row>
    <row r="138" spans="4:14" ht="19.2"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</row>
    <row r="139" spans="4:14" ht="19.2"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</row>
    <row r="140" spans="4:14" ht="19.2">
      <c r="D140" s="10"/>
      <c r="E140" s="10"/>
      <c r="F140" s="10"/>
      <c r="G140" s="10"/>
      <c r="H140" s="10"/>
      <c r="I140" s="10"/>
      <c r="J140" s="8"/>
      <c r="K140" s="8"/>
      <c r="L140" s="8"/>
      <c r="M140" s="8"/>
      <c r="N140" s="8"/>
    </row>
    <row r="141" spans="4:14" ht="19.2">
      <c r="D141" s="8"/>
      <c r="E141" s="8"/>
      <c r="F141" s="8"/>
      <c r="G141" s="8"/>
      <c r="H141" s="8"/>
      <c r="I141" s="8"/>
      <c r="J141" s="9"/>
      <c r="K141" s="9"/>
      <c r="L141" s="9"/>
      <c r="M141" s="9"/>
      <c r="N141" s="9"/>
    </row>
    <row r="142" spans="4:14" ht="19.2">
      <c r="D142" s="9"/>
      <c r="E142" s="9"/>
      <c r="F142" s="9"/>
      <c r="G142" s="9"/>
      <c r="H142" s="9"/>
      <c r="I142" s="9"/>
      <c r="J142" s="8"/>
      <c r="K142" s="8"/>
      <c r="L142" s="8"/>
      <c r="M142" s="8"/>
      <c r="N142" s="8"/>
    </row>
    <row r="143" spans="4:14" ht="19.2">
      <c r="D143" s="10"/>
      <c r="E143" s="10"/>
      <c r="F143" s="10"/>
      <c r="G143" s="10"/>
      <c r="H143" s="10"/>
      <c r="I143" s="10"/>
      <c r="J143" s="9"/>
      <c r="K143" s="9"/>
      <c r="L143" s="9"/>
      <c r="M143" s="9"/>
      <c r="N143" s="9"/>
    </row>
    <row r="144" spans="4:14" ht="19.2"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</row>
    <row r="145" spans="4:14" ht="19.2"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</row>
    <row r="146" spans="4:14" ht="19.2">
      <c r="D146" s="10"/>
      <c r="E146" s="10"/>
      <c r="F146" s="10"/>
      <c r="G146" s="10"/>
      <c r="H146" s="10"/>
      <c r="I146" s="10"/>
      <c r="J146" s="8"/>
      <c r="K146" s="8"/>
      <c r="L146" s="8"/>
      <c r="M146" s="8"/>
      <c r="N146" s="8"/>
    </row>
    <row r="147" spans="4:14" ht="19.2">
      <c r="D147" s="8"/>
      <c r="E147" s="8"/>
      <c r="F147" s="8"/>
      <c r="G147" s="8"/>
      <c r="H147" s="8"/>
      <c r="I147" s="8"/>
      <c r="J147" s="9"/>
      <c r="K147" s="9"/>
      <c r="L147" s="9"/>
      <c r="M147" s="9"/>
      <c r="N147" s="9"/>
    </row>
    <row r="148" spans="4:14" ht="19.2">
      <c r="D148" s="9"/>
      <c r="E148" s="9"/>
      <c r="F148" s="9"/>
      <c r="G148" s="9"/>
      <c r="H148" s="9"/>
      <c r="I148" s="9"/>
      <c r="J148" s="8"/>
      <c r="K148" s="8"/>
      <c r="L148" s="8"/>
      <c r="M148" s="8"/>
      <c r="N148" s="8"/>
    </row>
    <row r="149" spans="4:14" ht="19.2">
      <c r="D149" s="10"/>
      <c r="E149" s="10"/>
      <c r="F149" s="10"/>
      <c r="G149" s="10"/>
      <c r="H149" s="10"/>
      <c r="I149" s="10"/>
      <c r="J149" s="9"/>
      <c r="K149" s="9"/>
      <c r="L149" s="9"/>
      <c r="M149" s="9"/>
      <c r="N149" s="9"/>
    </row>
    <row r="150" spans="4:14" ht="19.2"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</row>
    <row r="151" spans="4:14" ht="19.2"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</row>
    <row r="152" spans="4:14" ht="19.2">
      <c r="D152" s="10"/>
      <c r="E152" s="10"/>
      <c r="F152" s="10"/>
      <c r="G152" s="10"/>
      <c r="H152" s="10"/>
      <c r="I152" s="10"/>
      <c r="J152" s="8"/>
      <c r="K152" s="8"/>
      <c r="L152" s="8"/>
      <c r="M152" s="8"/>
      <c r="N152" s="8"/>
    </row>
    <row r="153" spans="4:14" ht="19.2">
      <c r="D153" s="8"/>
      <c r="E153" s="8"/>
      <c r="F153" s="8"/>
      <c r="G153" s="8"/>
      <c r="H153" s="8"/>
      <c r="I153" s="8"/>
      <c r="J153" s="9"/>
      <c r="K153" s="9"/>
      <c r="L153" s="9"/>
      <c r="M153" s="9"/>
      <c r="N153" s="9"/>
    </row>
    <row r="154" spans="4:14" ht="19.2">
      <c r="D154" s="9"/>
      <c r="E154" s="9"/>
      <c r="F154" s="9"/>
      <c r="G154" s="9"/>
      <c r="H154" s="9"/>
      <c r="I154" s="9"/>
      <c r="J154" s="8"/>
      <c r="K154" s="8"/>
      <c r="L154" s="8"/>
      <c r="M154" s="8"/>
      <c r="N154" s="8"/>
    </row>
    <row r="155" spans="4:14" ht="19.2">
      <c r="D155" s="10"/>
      <c r="E155" s="10"/>
      <c r="F155" s="10"/>
      <c r="G155" s="10"/>
      <c r="H155" s="10"/>
      <c r="I155" s="10"/>
      <c r="J155" s="9"/>
      <c r="K155" s="9"/>
      <c r="L155" s="9"/>
      <c r="M155" s="9"/>
      <c r="N155" s="9"/>
    </row>
    <row r="156" spans="4:14" ht="19.2"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</row>
    <row r="157" spans="4:14" ht="19.2"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</row>
    <row r="158" spans="4:14" ht="19.2">
      <c r="D158" s="10"/>
      <c r="E158" s="10"/>
      <c r="F158" s="10"/>
      <c r="G158" s="10"/>
      <c r="H158" s="10"/>
      <c r="I158" s="10"/>
      <c r="J158" s="8"/>
      <c r="K158" s="8"/>
      <c r="L158" s="8"/>
      <c r="M158" s="8"/>
      <c r="N158" s="8"/>
    </row>
    <row r="159" spans="4:14" ht="19.2">
      <c r="D159" s="8"/>
      <c r="E159" s="8"/>
      <c r="F159" s="8"/>
      <c r="G159" s="8"/>
      <c r="H159" s="8"/>
      <c r="I159" s="8"/>
      <c r="J159" s="9"/>
      <c r="K159" s="9"/>
      <c r="L159" s="9"/>
      <c r="M159" s="9"/>
      <c r="N159" s="9"/>
    </row>
    <row r="160" spans="4:14" ht="19.2">
      <c r="D160" s="9"/>
      <c r="E160" s="9"/>
      <c r="F160" s="9"/>
      <c r="G160" s="9"/>
      <c r="H160" s="9"/>
      <c r="I160" s="9"/>
      <c r="J160" s="8"/>
      <c r="K160" s="8"/>
      <c r="L160" s="8"/>
      <c r="M160" s="8"/>
      <c r="N160" s="8"/>
    </row>
    <row r="161" spans="4:14" ht="19.2">
      <c r="D161" s="10"/>
      <c r="E161" s="10"/>
      <c r="F161" s="10"/>
      <c r="G161" s="10"/>
      <c r="H161" s="10"/>
      <c r="I161" s="10"/>
      <c r="J161" s="9"/>
      <c r="K161" s="9"/>
      <c r="L161" s="9"/>
      <c r="M161" s="9"/>
      <c r="N161" s="9"/>
    </row>
    <row r="162" spans="4:14" ht="19.2"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</row>
    <row r="163" spans="4:14" ht="19.2"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</row>
    <row r="164" spans="4:14" ht="19.2">
      <c r="D164" s="10"/>
      <c r="E164" s="10"/>
      <c r="F164" s="10"/>
      <c r="G164" s="10"/>
      <c r="H164" s="10"/>
      <c r="I164" s="10"/>
      <c r="J164" s="8"/>
      <c r="K164" s="8"/>
      <c r="L164" s="8"/>
      <c r="M164" s="8"/>
      <c r="N164" s="8"/>
    </row>
    <row r="165" spans="4:14" ht="19.2">
      <c r="D165" s="8"/>
      <c r="E165" s="8"/>
      <c r="F165" s="8"/>
      <c r="G165" s="8"/>
      <c r="H165" s="8"/>
      <c r="I165" s="8"/>
      <c r="J165" s="9"/>
      <c r="K165" s="9"/>
      <c r="L165" s="9"/>
      <c r="M165" s="9"/>
      <c r="N165" s="9"/>
    </row>
    <row r="166" spans="4:14" ht="19.2">
      <c r="D166" s="9"/>
      <c r="E166" s="9"/>
      <c r="F166" s="9"/>
      <c r="G166" s="9"/>
      <c r="H166" s="9"/>
      <c r="I166" s="9"/>
      <c r="J166" s="8"/>
      <c r="K166" s="8"/>
      <c r="L166" s="8"/>
      <c r="M166" s="8"/>
      <c r="N166" s="8"/>
    </row>
    <row r="167" spans="4:14" ht="19.2">
      <c r="D167" s="10"/>
      <c r="E167" s="10"/>
      <c r="F167" s="10"/>
      <c r="G167" s="10"/>
      <c r="H167" s="10"/>
      <c r="I167" s="10"/>
      <c r="J167" s="9"/>
      <c r="K167" s="9"/>
      <c r="L167" s="9"/>
      <c r="M167" s="9"/>
      <c r="N167" s="9"/>
    </row>
    <row r="168" spans="4:14" ht="19.2"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</row>
    <row r="169" spans="4:14" ht="19.2"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</row>
    <row r="170" spans="4:14" ht="19.2">
      <c r="D170" s="10"/>
      <c r="E170" s="10"/>
      <c r="F170" s="10"/>
      <c r="G170" s="10"/>
      <c r="H170" s="10"/>
      <c r="I170" s="10"/>
      <c r="J170" s="8"/>
      <c r="K170" s="8"/>
      <c r="L170" s="8"/>
      <c r="M170" s="8"/>
      <c r="N170" s="8"/>
    </row>
    <row r="171" spans="4:14" ht="19.2">
      <c r="D171" s="8"/>
      <c r="E171" s="8"/>
      <c r="F171" s="8"/>
      <c r="G171" s="8"/>
      <c r="H171" s="8"/>
      <c r="I171" s="8"/>
      <c r="J171" s="9"/>
      <c r="K171" s="9"/>
      <c r="L171" s="9"/>
      <c r="M171" s="9"/>
      <c r="N171" s="9"/>
    </row>
    <row r="172" spans="4:14" ht="19.2">
      <c r="D172" s="9"/>
      <c r="E172" s="9"/>
      <c r="F172" s="9"/>
      <c r="G172" s="9"/>
      <c r="H172" s="9"/>
      <c r="I172" s="9"/>
      <c r="J172" s="8"/>
      <c r="K172" s="8"/>
      <c r="L172" s="8"/>
      <c r="M172" s="8"/>
      <c r="N172" s="8"/>
    </row>
    <row r="173" spans="4:14" ht="19.2">
      <c r="D173" s="10"/>
      <c r="E173" s="10"/>
      <c r="F173" s="10"/>
      <c r="G173" s="10"/>
      <c r="H173" s="10"/>
      <c r="I173" s="10"/>
      <c r="J173" s="9"/>
      <c r="K173" s="9"/>
      <c r="L173" s="9"/>
      <c r="M173" s="9"/>
      <c r="N173" s="9"/>
    </row>
    <row r="174" spans="4:14" ht="19.2"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</row>
    <row r="175" spans="4:14" ht="19.2"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</row>
    <row r="176" spans="4:14" ht="19.2">
      <c r="D176" s="10"/>
      <c r="E176" s="10"/>
      <c r="F176" s="10"/>
      <c r="G176" s="10"/>
      <c r="H176" s="10"/>
      <c r="I176" s="10"/>
      <c r="J176" s="8"/>
      <c r="K176" s="8"/>
      <c r="L176" s="8"/>
      <c r="M176" s="8"/>
      <c r="N176" s="8"/>
    </row>
    <row r="177" spans="4:14" ht="19.2">
      <c r="D177" s="8"/>
      <c r="E177" s="8"/>
      <c r="F177" s="8"/>
      <c r="G177" s="8"/>
      <c r="H177" s="8"/>
      <c r="I177" s="8"/>
      <c r="J177" s="9"/>
      <c r="K177" s="9"/>
      <c r="L177" s="9"/>
      <c r="M177" s="9"/>
      <c r="N177" s="9"/>
    </row>
    <row r="178" spans="4:14" ht="19.2">
      <c r="D178" s="9"/>
      <c r="E178" s="9"/>
      <c r="F178" s="9"/>
      <c r="G178" s="9"/>
      <c r="H178" s="9"/>
      <c r="I178" s="9"/>
    </row>
    <row r="179" spans="4:14" ht="19.2">
      <c r="D179" s="10"/>
      <c r="E179" s="10"/>
      <c r="F179" s="10"/>
      <c r="G179" s="10"/>
      <c r="H179" s="10"/>
      <c r="I179" s="10"/>
    </row>
    <row r="180" spans="4:14" ht="19.2">
      <c r="D180" s="8"/>
      <c r="E180" s="8"/>
      <c r="F180" s="8"/>
      <c r="G180" s="8"/>
      <c r="H180" s="8"/>
      <c r="I180" s="8"/>
    </row>
    <row r="181" spans="4:14" ht="19.2">
      <c r="D181" s="9"/>
      <c r="E181" s="9"/>
      <c r="F181" s="9"/>
      <c r="G181" s="9"/>
      <c r="H181" s="9"/>
      <c r="I181" s="9"/>
    </row>
    <row r="182" spans="4:14" ht="19.2">
      <c r="D182" s="10"/>
      <c r="E182" s="10"/>
      <c r="F182" s="10"/>
      <c r="G182" s="10"/>
      <c r="H182" s="10"/>
      <c r="I182" s="10"/>
    </row>
    <row r="183" spans="4:14" ht="19.2">
      <c r="D183" s="8"/>
      <c r="E183" s="8"/>
      <c r="F183" s="8"/>
      <c r="G183" s="8"/>
      <c r="H183" s="8"/>
      <c r="I183" s="8"/>
    </row>
    <row r="184" spans="4:14" ht="19.2">
      <c r="D184" s="9"/>
      <c r="E184" s="9"/>
      <c r="F184" s="9"/>
      <c r="G184" s="9"/>
      <c r="H184" s="9"/>
      <c r="I184" s="9"/>
    </row>
    <row r="185" spans="4:14" ht="19.2">
      <c r="D185" s="10"/>
      <c r="E185" s="10"/>
      <c r="F185" s="10"/>
      <c r="G185" s="10"/>
      <c r="H185" s="10"/>
      <c r="I185" s="10"/>
    </row>
    <row r="186" spans="4:14" ht="19.2">
      <c r="D186" s="8"/>
      <c r="E186" s="8"/>
      <c r="F186" s="8"/>
      <c r="G186" s="8"/>
      <c r="H186" s="8"/>
      <c r="I186" s="8"/>
    </row>
    <row r="187" spans="4:14" ht="19.2">
      <c r="D187" s="9"/>
      <c r="E187" s="9"/>
      <c r="F187" s="9"/>
      <c r="G187" s="9"/>
      <c r="H187" s="9"/>
      <c r="I187" s="9"/>
    </row>
    <row r="188" spans="4:14" ht="19.2">
      <c r="D188" s="10"/>
      <c r="E188" s="10"/>
      <c r="F188" s="10"/>
      <c r="G188" s="10"/>
      <c r="H188" s="10"/>
      <c r="I188" s="10"/>
    </row>
    <row r="189" spans="4:14" ht="19.2">
      <c r="D189" s="8"/>
      <c r="E189" s="8"/>
      <c r="F189" s="8"/>
      <c r="G189" s="8"/>
      <c r="H189" s="8"/>
      <c r="I189" s="8"/>
    </row>
    <row r="190" spans="4:14" ht="19.2">
      <c r="D190" s="9"/>
      <c r="E190" s="9"/>
      <c r="F190" s="9"/>
      <c r="G190" s="9"/>
      <c r="H190" s="9"/>
      <c r="I190" s="9"/>
    </row>
    <row r="191" spans="4:14" ht="19.2">
      <c r="D191" s="10"/>
      <c r="E191" s="10"/>
      <c r="F191" s="10"/>
      <c r="G191" s="10"/>
      <c r="H191" s="10"/>
      <c r="I191" s="10"/>
    </row>
    <row r="192" spans="4:14" ht="19.2">
      <c r="D192" s="8"/>
      <c r="E192" s="8"/>
      <c r="F192" s="8"/>
      <c r="G192" s="8"/>
      <c r="H192" s="8"/>
      <c r="I192" s="8"/>
    </row>
    <row r="193" spans="4:9" ht="19.2">
      <c r="D193" s="9"/>
      <c r="E193" s="9"/>
      <c r="F193" s="9"/>
      <c r="G193" s="9"/>
      <c r="H193" s="9"/>
      <c r="I193" s="9"/>
    </row>
    <row r="194" spans="4:9" ht="19.2">
      <c r="D194" s="10"/>
      <c r="E194" s="10"/>
      <c r="F194" s="10"/>
      <c r="G194" s="10"/>
      <c r="H194" s="10"/>
      <c r="I194" s="10"/>
    </row>
    <row r="195" spans="4:9" ht="19.2">
      <c r="D195" s="8"/>
      <c r="E195" s="8"/>
      <c r="F195" s="8"/>
      <c r="G195" s="8"/>
      <c r="H195" s="8"/>
      <c r="I195" s="8"/>
    </row>
    <row r="196" spans="4:9" ht="19.2">
      <c r="D196" s="9"/>
      <c r="E196" s="9"/>
      <c r="F196" s="9"/>
      <c r="G196" s="9"/>
      <c r="H196" s="9"/>
      <c r="I196" s="9"/>
    </row>
    <row r="197" spans="4:9" ht="19.2">
      <c r="D197" s="10"/>
      <c r="E197" s="10"/>
      <c r="F197" s="10"/>
      <c r="G197" s="10"/>
      <c r="H197" s="10"/>
      <c r="I197" s="10"/>
    </row>
    <row r="198" spans="4:9" ht="19.2">
      <c r="D198" s="8"/>
      <c r="E198" s="8"/>
      <c r="F198" s="8"/>
      <c r="G198" s="8"/>
      <c r="H198" s="8"/>
      <c r="I198" s="8"/>
    </row>
    <row r="199" spans="4:9" ht="19.2">
      <c r="D199" s="9"/>
      <c r="E199" s="9"/>
      <c r="F199" s="9"/>
      <c r="G199" s="9"/>
      <c r="H199" s="9"/>
      <c r="I199" s="9"/>
    </row>
    <row r="200" spans="4:9" ht="19.2">
      <c r="D200" s="10"/>
      <c r="E200" s="10"/>
      <c r="F200" s="10"/>
      <c r="G200" s="10"/>
      <c r="H200" s="10"/>
      <c r="I200" s="10"/>
    </row>
    <row r="201" spans="4:9" ht="19.2">
      <c r="D201" s="8"/>
      <c r="E201" s="8"/>
      <c r="F201" s="8"/>
      <c r="G201" s="8"/>
      <c r="H201" s="8"/>
      <c r="I201" s="8"/>
    </row>
    <row r="202" spans="4:9" ht="19.2">
      <c r="D202" s="9"/>
      <c r="E202" s="9"/>
      <c r="F202" s="9"/>
      <c r="G202" s="9"/>
      <c r="H202" s="9"/>
      <c r="I202" s="9"/>
    </row>
    <row r="203" spans="4:9" ht="19.2">
      <c r="D203" s="10"/>
      <c r="E203" s="10"/>
      <c r="F203" s="10"/>
      <c r="G203" s="10"/>
      <c r="H203" s="10"/>
      <c r="I203" s="10"/>
    </row>
    <row r="204" spans="4:9" ht="19.2">
      <c r="D204" s="8"/>
      <c r="E204" s="8"/>
      <c r="F204" s="8"/>
      <c r="G204" s="8"/>
      <c r="H204" s="8"/>
      <c r="I204" s="8"/>
    </row>
    <row r="205" spans="4:9" ht="19.2">
      <c r="D205" s="9"/>
      <c r="E205" s="9"/>
      <c r="F205" s="9"/>
      <c r="G205" s="9"/>
      <c r="H205" s="9"/>
      <c r="I205" s="9"/>
    </row>
    <row r="206" spans="4:9" ht="19.2">
      <c r="D206" s="10"/>
      <c r="E206" s="10"/>
      <c r="F206" s="10"/>
      <c r="G206" s="10"/>
      <c r="H206" s="10"/>
      <c r="I206" s="10"/>
    </row>
    <row r="207" spans="4:9" ht="19.2">
      <c r="D207" s="8"/>
      <c r="E207" s="8"/>
      <c r="F207" s="8"/>
      <c r="G207" s="8"/>
      <c r="H207" s="8"/>
      <c r="I207" s="8"/>
    </row>
    <row r="208" spans="4:9" ht="19.2">
      <c r="D208" s="9"/>
      <c r="E208" s="9"/>
      <c r="F208" s="9"/>
      <c r="G208" s="9"/>
      <c r="H208" s="9"/>
      <c r="I208" s="9"/>
    </row>
    <row r="209" spans="4:9" ht="19.2">
      <c r="D209" s="10"/>
      <c r="E209" s="10"/>
      <c r="F209" s="10"/>
      <c r="G209" s="10"/>
      <c r="H209" s="10"/>
      <c r="I209" s="10"/>
    </row>
    <row r="210" spans="4:9" ht="19.2">
      <c r="D210" s="8"/>
      <c r="E210" s="8"/>
      <c r="F210" s="8"/>
      <c r="G210" s="8"/>
      <c r="H210" s="8"/>
      <c r="I210" s="8"/>
    </row>
    <row r="211" spans="4:9" ht="19.2">
      <c r="D211" s="9"/>
      <c r="E211" s="9"/>
      <c r="F211" s="9"/>
      <c r="G211" s="9"/>
      <c r="H211" s="9"/>
      <c r="I211" s="9"/>
    </row>
    <row r="212" spans="4:9" ht="19.2">
      <c r="D212" s="10"/>
      <c r="E212" s="10"/>
      <c r="F212" s="10"/>
      <c r="G212" s="10"/>
      <c r="H212" s="10"/>
      <c r="I212" s="10"/>
    </row>
    <row r="213" spans="4:9" ht="19.2">
      <c r="D213" s="8"/>
      <c r="E213" s="8"/>
      <c r="F213" s="8"/>
      <c r="G213" s="8"/>
      <c r="H213" s="8"/>
      <c r="I213" s="8"/>
    </row>
    <row r="214" spans="4:9" ht="19.2">
      <c r="D214" s="9"/>
      <c r="E214" s="9"/>
      <c r="F214" s="9"/>
      <c r="G214" s="9"/>
      <c r="H214" s="9"/>
      <c r="I214" s="9"/>
    </row>
    <row r="215" spans="4:9" ht="19.2">
      <c r="D215" s="10"/>
      <c r="E215" s="10"/>
      <c r="F215" s="10"/>
      <c r="G215" s="10"/>
      <c r="H215" s="10"/>
      <c r="I215" s="10"/>
    </row>
    <row r="216" spans="4:9" ht="19.2">
      <c r="D216" s="8"/>
      <c r="E216" s="8"/>
      <c r="F216" s="8"/>
      <c r="G216" s="8"/>
      <c r="H216" s="8"/>
      <c r="I216" s="8"/>
    </row>
    <row r="217" spans="4:9" ht="19.2">
      <c r="D217" s="9"/>
      <c r="E217" s="9"/>
      <c r="F217" s="9"/>
      <c r="G217" s="9"/>
      <c r="H217" s="9"/>
      <c r="I217" s="9"/>
    </row>
    <row r="218" spans="4:9" ht="19.2">
      <c r="D218" s="10"/>
      <c r="E218" s="10"/>
      <c r="F218" s="10"/>
      <c r="G218" s="10"/>
      <c r="H218" s="10"/>
      <c r="I218" s="10"/>
    </row>
    <row r="219" spans="4:9" ht="19.2">
      <c r="D219" s="8"/>
      <c r="E219" s="8"/>
      <c r="F219" s="8"/>
      <c r="G219" s="8"/>
      <c r="H219" s="8"/>
      <c r="I219" s="8"/>
    </row>
    <row r="220" spans="4:9" ht="19.2">
      <c r="D220" s="9"/>
      <c r="E220" s="9"/>
      <c r="F220" s="9"/>
      <c r="G220" s="9"/>
      <c r="H220" s="9"/>
      <c r="I220" s="9"/>
    </row>
    <row r="221" spans="4:9" ht="19.2">
      <c r="D221" s="10"/>
      <c r="E221" s="10"/>
      <c r="F221" s="10"/>
      <c r="G221" s="10"/>
      <c r="H221" s="10"/>
      <c r="I221" s="10"/>
    </row>
    <row r="222" spans="4:9" ht="19.2">
      <c r="D222" s="8"/>
      <c r="E222" s="8"/>
      <c r="F222" s="8"/>
      <c r="G222" s="8"/>
      <c r="H222" s="8"/>
      <c r="I222" s="8"/>
    </row>
    <row r="223" spans="4:9" ht="19.2">
      <c r="D223" s="9"/>
      <c r="E223" s="9"/>
      <c r="F223" s="9"/>
      <c r="G223" s="9"/>
      <c r="H223" s="9"/>
      <c r="I223" s="9"/>
    </row>
    <row r="224" spans="4:9" ht="19.2">
      <c r="D224" s="10"/>
      <c r="E224" s="10"/>
      <c r="F224" s="10"/>
      <c r="G224" s="10"/>
      <c r="H224" s="10"/>
      <c r="I224" s="10"/>
    </row>
    <row r="225" spans="4:9" ht="19.2">
      <c r="D225" s="8"/>
      <c r="E225" s="8"/>
      <c r="F225" s="8"/>
      <c r="G225" s="8"/>
      <c r="H225" s="8"/>
      <c r="I225" s="8"/>
    </row>
    <row r="226" spans="4:9" ht="19.2">
      <c r="D226" s="9"/>
      <c r="E226" s="9"/>
      <c r="F226" s="9"/>
      <c r="G226" s="9"/>
      <c r="H226" s="9"/>
      <c r="I226" s="9"/>
    </row>
    <row r="227" spans="4:9" ht="19.2">
      <c r="D227" s="10"/>
      <c r="E227" s="10"/>
      <c r="F227" s="10"/>
      <c r="G227" s="10"/>
      <c r="H227" s="10"/>
      <c r="I227" s="10"/>
    </row>
    <row r="228" spans="4:9" ht="19.2">
      <c r="D228" s="8"/>
      <c r="E228" s="8"/>
      <c r="F228" s="8"/>
      <c r="G228" s="8"/>
      <c r="H228" s="8"/>
      <c r="I228" s="8"/>
    </row>
    <row r="229" spans="4:9" ht="19.2">
      <c r="D229" s="9"/>
      <c r="E229" s="9"/>
      <c r="F229" s="9"/>
      <c r="G229" s="9"/>
      <c r="H229" s="9"/>
      <c r="I229" s="9"/>
    </row>
    <row r="230" spans="4:9" ht="19.2">
      <c r="D230" s="10"/>
      <c r="E230" s="10"/>
      <c r="F230" s="10"/>
      <c r="G230" s="10"/>
      <c r="H230" s="10"/>
      <c r="I230" s="10"/>
    </row>
    <row r="231" spans="4:9" ht="19.2">
      <c r="D231" s="8"/>
      <c r="E231" s="8"/>
      <c r="F231" s="8"/>
      <c r="G231" s="8"/>
      <c r="H231" s="8"/>
      <c r="I231" s="8"/>
    </row>
    <row r="232" spans="4:9" ht="19.2">
      <c r="D232" s="9"/>
      <c r="E232" s="9"/>
      <c r="F232" s="9"/>
      <c r="G232" s="9"/>
      <c r="H232" s="9"/>
      <c r="I232" s="9"/>
    </row>
    <row r="233" spans="4:9" ht="19.2">
      <c r="D233" s="10"/>
      <c r="E233" s="10"/>
      <c r="F233" s="10"/>
      <c r="G233" s="10"/>
      <c r="H233" s="10"/>
      <c r="I233" s="10"/>
    </row>
    <row r="234" spans="4:9" ht="19.2">
      <c r="D234" s="8"/>
      <c r="E234" s="8"/>
      <c r="F234" s="8"/>
      <c r="G234" s="8"/>
      <c r="H234" s="8"/>
      <c r="I234" s="8"/>
    </row>
    <row r="235" spans="4:9" ht="19.2">
      <c r="D235" s="9"/>
      <c r="E235" s="9"/>
      <c r="F235" s="9"/>
      <c r="G235" s="9"/>
      <c r="H235" s="9"/>
      <c r="I235" s="9"/>
    </row>
    <row r="236" spans="4:9" ht="19.2">
      <c r="D236" s="10"/>
      <c r="E236" s="10"/>
      <c r="F236" s="10"/>
      <c r="G236" s="10"/>
      <c r="H236" s="10"/>
      <c r="I236" s="10"/>
    </row>
    <row r="237" spans="4:9" ht="19.2">
      <c r="D237" s="8"/>
      <c r="E237" s="8"/>
      <c r="F237" s="8"/>
      <c r="G237" s="8"/>
      <c r="H237" s="8"/>
      <c r="I237" s="8"/>
    </row>
    <row r="238" spans="4:9" ht="19.2">
      <c r="D238" s="9"/>
      <c r="E238" s="9"/>
      <c r="F238" s="9"/>
      <c r="G238" s="9"/>
      <c r="H238" s="9"/>
      <c r="I238" s="9"/>
    </row>
    <row r="239" spans="4:9" ht="19.2">
      <c r="D239" s="10"/>
      <c r="E239" s="10"/>
      <c r="F239" s="10"/>
      <c r="G239" s="10"/>
      <c r="H239" s="10"/>
      <c r="I239" s="10"/>
    </row>
    <row r="240" spans="4:9" ht="19.2">
      <c r="D240" s="8"/>
      <c r="E240" s="8"/>
      <c r="F240" s="8"/>
      <c r="G240" s="8"/>
      <c r="H240" s="8"/>
      <c r="I240" s="8"/>
    </row>
    <row r="241" spans="4:9" ht="19.2">
      <c r="D241" s="9"/>
      <c r="E241" s="9"/>
      <c r="F241" s="9"/>
      <c r="G241" s="9"/>
      <c r="H241" s="9"/>
      <c r="I241" s="9"/>
    </row>
    <row r="242" spans="4:9" ht="19.2">
      <c r="D242" s="10"/>
      <c r="E242" s="10"/>
      <c r="F242" s="10"/>
      <c r="G242" s="10"/>
      <c r="H242" s="10"/>
      <c r="I242" s="10"/>
    </row>
    <row r="243" spans="4:9" ht="19.2">
      <c r="D243" s="8"/>
      <c r="E243" s="8"/>
      <c r="F243" s="8"/>
      <c r="G243" s="8"/>
      <c r="H243" s="8"/>
      <c r="I243" s="8"/>
    </row>
    <row r="244" spans="4:9" ht="19.2">
      <c r="D244" s="9"/>
      <c r="E244" s="9"/>
      <c r="F244" s="9"/>
      <c r="G244" s="9"/>
      <c r="H244" s="9"/>
      <c r="I244" s="9"/>
    </row>
    <row r="245" spans="4:9" ht="19.2">
      <c r="D245" s="10"/>
      <c r="E245" s="10"/>
      <c r="F245" s="10"/>
      <c r="G245" s="10"/>
      <c r="H245" s="10"/>
      <c r="I245" s="10"/>
    </row>
    <row r="246" spans="4:9" ht="19.2">
      <c r="D246" s="8"/>
      <c r="E246" s="8"/>
      <c r="F246" s="8"/>
      <c r="G246" s="8"/>
      <c r="H246" s="8"/>
      <c r="I246" s="8"/>
    </row>
    <row r="247" spans="4:9" ht="19.2">
      <c r="D247" s="9"/>
      <c r="E247" s="9"/>
      <c r="F247" s="9"/>
      <c r="G247" s="9"/>
      <c r="H247" s="9"/>
      <c r="I247" s="9"/>
    </row>
    <row r="248" spans="4:9" ht="19.2">
      <c r="D248" s="10"/>
      <c r="E248" s="10"/>
      <c r="F248" s="10"/>
      <c r="G248" s="10"/>
      <c r="H248" s="10"/>
      <c r="I248" s="10"/>
    </row>
    <row r="249" spans="4:9" ht="19.2">
      <c r="D249" s="8"/>
      <c r="E249" s="8"/>
      <c r="F249" s="8"/>
      <c r="G249" s="8"/>
      <c r="H249" s="8"/>
      <c r="I249" s="8"/>
    </row>
    <row r="250" spans="4:9" ht="19.2">
      <c r="D250" s="9"/>
      <c r="E250" s="9"/>
      <c r="F250" s="9"/>
      <c r="G250" s="9"/>
      <c r="H250" s="9"/>
      <c r="I250" s="9"/>
    </row>
    <row r="251" spans="4:9" ht="19.2">
      <c r="D251" s="10"/>
      <c r="E251" s="10"/>
      <c r="F251" s="10"/>
      <c r="G251" s="10"/>
      <c r="H251" s="10"/>
      <c r="I251" s="10"/>
    </row>
    <row r="252" spans="4:9" ht="19.2">
      <c r="D252" s="8"/>
      <c r="E252" s="8"/>
      <c r="F252" s="8"/>
      <c r="G252" s="8"/>
      <c r="H252" s="8"/>
      <c r="I252" s="8"/>
    </row>
    <row r="253" spans="4:9" ht="19.2">
      <c r="D253" s="9"/>
      <c r="E253" s="9"/>
      <c r="F253" s="9"/>
      <c r="G253" s="9"/>
      <c r="H253" s="9"/>
      <c r="I253" s="9"/>
    </row>
    <row r="254" spans="4:9" ht="19.2">
      <c r="D254" s="10"/>
      <c r="E254" s="10"/>
      <c r="F254" s="10"/>
      <c r="G254" s="10"/>
      <c r="H254" s="10"/>
      <c r="I254" s="10"/>
    </row>
    <row r="255" spans="4:9" ht="19.2">
      <c r="D255" s="8"/>
      <c r="E255" s="8"/>
      <c r="F255" s="8"/>
      <c r="G255" s="8"/>
      <c r="H255" s="8"/>
      <c r="I255" s="8"/>
    </row>
    <row r="256" spans="4:9" ht="19.2">
      <c r="D256" s="9"/>
      <c r="E256" s="9"/>
      <c r="F256" s="9"/>
      <c r="G256" s="9"/>
      <c r="H256" s="9"/>
      <c r="I256" s="9"/>
    </row>
    <row r="257" spans="4:9" ht="19.2">
      <c r="D257" s="10"/>
      <c r="E257" s="10"/>
      <c r="F257" s="10"/>
      <c r="G257" s="10"/>
      <c r="H257" s="10"/>
      <c r="I257" s="10"/>
    </row>
    <row r="258" spans="4:9" ht="19.2">
      <c r="D258" s="8"/>
      <c r="E258" s="8"/>
      <c r="F258" s="8"/>
      <c r="G258" s="8"/>
      <c r="H258" s="8"/>
      <c r="I258" s="8"/>
    </row>
    <row r="259" spans="4:9" ht="19.2">
      <c r="D259" s="9"/>
      <c r="E259" s="9"/>
      <c r="F259" s="9"/>
      <c r="G259" s="9"/>
      <c r="H259" s="9"/>
      <c r="I259" s="9"/>
    </row>
    <row r="260" spans="4:9" ht="19.2">
      <c r="D260" s="10"/>
      <c r="E260" s="10"/>
      <c r="F260" s="10"/>
      <c r="G260" s="10"/>
      <c r="H260" s="10"/>
      <c r="I260" s="10"/>
    </row>
    <row r="261" spans="4:9" ht="19.2">
      <c r="D261" s="8"/>
      <c r="E261" s="8"/>
      <c r="F261" s="8"/>
      <c r="G261" s="8"/>
      <c r="H261" s="8"/>
      <c r="I261" s="8"/>
    </row>
    <row r="262" spans="4:9" ht="19.2">
      <c r="D262" s="9"/>
      <c r="E262" s="9"/>
      <c r="F262" s="9"/>
      <c r="G262" s="9"/>
      <c r="H262" s="9"/>
      <c r="I262" s="9"/>
    </row>
    <row r="263" spans="4:9" ht="19.2">
      <c r="D263" s="10"/>
      <c r="E263" s="10"/>
      <c r="F263" s="10"/>
      <c r="G263" s="10"/>
      <c r="H263" s="10"/>
      <c r="I263" s="10"/>
    </row>
    <row r="264" spans="4:9" ht="19.2">
      <c r="D264" s="8"/>
      <c r="E264" s="8"/>
      <c r="F264" s="8"/>
      <c r="G264" s="8"/>
      <c r="H264" s="8"/>
      <c r="I264" s="8"/>
    </row>
    <row r="265" spans="4:9" ht="19.2">
      <c r="D265" s="9"/>
      <c r="E265" s="9"/>
      <c r="F265" s="9"/>
      <c r="G265" s="9"/>
      <c r="H265" s="9"/>
      <c r="I265" s="9"/>
    </row>
  </sheetData>
  <dataValidations count="1">
    <dataValidation type="list" allowBlank="1" showInputMessage="1" showErrorMessage="1" sqref="A2:A89 D265:I265 D262:I262 D259:I259 D256:I256 D253:I253 D250:I250 D247:I247 D244:I244 D241:I241 D238:I238 D235:I235 D232:I232 D229:I229 D226:I226 D223:I223 D220:I220 D217:I217 D214:I214 D211:I211 D208:I208 D205:I205 D202:I202 D199:I199 D196:I196 D193:I193 D190:I190 D187:I187 D184:I184 D181:I181 D7:N7 J5:N5 D19:N19 J17:N17 D31:N31 J29:N29 D43:N43 J41:N41 D55:N55 J53:N53 D67:N67 J65:N65 D79:N79 J77:N77 D91:N91 J89:N89 D103:N103 J101:N101 D115:N115 J113:N113 D127:N127 J125:N125 D139:N139 J137:N137 D151:N151 J149:N149 D163:N163 J161:N161 D175:N175 J173:N173 D169:N169 J167:N167 D157:N157 J155:N155 D145:N145 J143:N143 D133:N133 J131:N131 D121:N121 J119:N119 D109:N109 J107:N107 D97:N97 J95:N95 D85:N85 J83:N83 D73:N73 J71:N71 D61:N61 J59:N59 D49:N49 J47:N47 D37:N37 J35:N35 D25:N25 J23:N23 D13:N13 J11:N11 D4:I4 J3:N3 D16:I16 J15:N15 D28:I28 J27:N27 D40:I40 J39:N39 D52:I52 J51:N51 D64:I64 J63:N63 D76:I76 J75:N75 D88:I88 J87:N87 D100:I100 J99:N99 D112:I112 J111:N111 D124:I124 J123:N123 D136:I136 J135:N135 D148:I148 J147:N147 D160:I160 J159:N159 D172:I172 J171:N171 D178:I178 J177:N177 D166:I166 J165:N165 D154:I154 J153:N153 D142:I142 J141:N141 D130:I130 J129:N129 D118:I118 J117:N117 D106:I106 J105:N105 D94:I94 J93:N93 D82:I82 J81:N81 D70:I70 J69:N69 D58:I58 J57:N57 D46:I46 J45:N45 D34:I34 J33:N33 D22:I22 J21:N21 D10:I10 J9:N9">
      <formula1>Empleados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L13"/>
  <sheetViews>
    <sheetView workbookViewId="0">
      <selection activeCell="A2" sqref="A2:XFD2"/>
    </sheetView>
  </sheetViews>
  <sheetFormatPr baseColWidth="10" defaultRowHeight="13.2"/>
  <cols>
    <col min="1" max="1" width="25.88671875" bestFit="1" customWidth="1"/>
    <col min="2" max="2" width="13.88671875" bestFit="1" customWidth="1"/>
    <col min="4" max="4" width="81.44140625" customWidth="1"/>
    <col min="5" max="5" width="82" customWidth="1"/>
    <col min="6" max="6" width="77.5546875" customWidth="1"/>
    <col min="7" max="7" width="10.109375" bestFit="1" customWidth="1"/>
    <col min="8" max="8" width="11.109375" customWidth="1"/>
    <col min="9" max="9" width="16.109375" bestFit="1" customWidth="1"/>
    <col min="10" max="10" width="8.88671875" bestFit="1" customWidth="1"/>
  </cols>
  <sheetData>
    <row r="1" spans="1:12">
      <c r="A1" s="47" t="s">
        <v>134</v>
      </c>
      <c r="B1" s="47" t="s">
        <v>135</v>
      </c>
      <c r="C1" t="s">
        <v>136</v>
      </c>
      <c r="D1" s="49" t="s">
        <v>151</v>
      </c>
      <c r="E1" s="49" t="s">
        <v>152</v>
      </c>
      <c r="F1" s="49" t="s">
        <v>153</v>
      </c>
      <c r="G1" t="s">
        <v>143</v>
      </c>
      <c r="H1" s="49" t="s">
        <v>147</v>
      </c>
      <c r="I1" t="s">
        <v>144</v>
      </c>
      <c r="J1" t="s">
        <v>145</v>
      </c>
    </row>
    <row r="2" spans="1:12" ht="26.4">
      <c r="A2" s="55" t="s">
        <v>698</v>
      </c>
      <c r="B2" s="68">
        <v>22214698</v>
      </c>
      <c r="C2" s="60">
        <v>19500</v>
      </c>
      <c r="D2" s="50" t="s">
        <v>699</v>
      </c>
      <c r="E2" s="69" t="s">
        <v>326</v>
      </c>
      <c r="F2" s="58" t="s">
        <v>592</v>
      </c>
      <c r="G2" s="49" t="s">
        <v>700</v>
      </c>
      <c r="H2" t="s">
        <v>148</v>
      </c>
      <c r="I2" s="49" t="s">
        <v>679</v>
      </c>
      <c r="J2" s="49" t="s">
        <v>318</v>
      </c>
      <c r="K2">
        <v>3</v>
      </c>
      <c r="L2" s="70">
        <v>42268</v>
      </c>
    </row>
    <row r="3" spans="1:12">
      <c r="A3" s="55"/>
      <c r="B3" s="56"/>
      <c r="C3" s="60"/>
      <c r="D3" s="50"/>
      <c r="E3" s="50"/>
      <c r="F3" s="58"/>
      <c r="G3" s="49"/>
      <c r="J3" s="49"/>
    </row>
    <row r="4" spans="1:12">
      <c r="A4" s="48"/>
      <c r="B4" s="24"/>
      <c r="C4" s="51"/>
      <c r="D4" s="50"/>
      <c r="E4" s="50"/>
      <c r="F4" s="50"/>
      <c r="G4" s="49"/>
      <c r="H4" s="49"/>
      <c r="J4" s="49"/>
    </row>
    <row r="5" spans="1:12">
      <c r="A5" s="48"/>
      <c r="B5" s="24"/>
      <c r="C5" s="51"/>
      <c r="D5" s="50"/>
      <c r="E5" s="50"/>
      <c r="F5" s="50"/>
      <c r="G5" s="49"/>
      <c r="H5" s="49"/>
      <c r="J5" s="49"/>
    </row>
    <row r="6" spans="1:12" ht="11.25" customHeight="1">
      <c r="A6" s="48"/>
      <c r="B6" s="24"/>
      <c r="C6" s="51"/>
      <c r="D6" s="50"/>
      <c r="E6" s="50"/>
      <c r="F6" s="50"/>
      <c r="G6" s="49"/>
      <c r="H6" s="49"/>
      <c r="J6" s="49"/>
    </row>
    <row r="7" spans="1:12">
      <c r="A7" s="48"/>
      <c r="B7" s="24"/>
      <c r="C7" s="51"/>
      <c r="D7" s="50"/>
      <c r="E7" s="50"/>
      <c r="F7" s="50"/>
      <c r="G7" s="49"/>
      <c r="H7" s="49"/>
      <c r="J7" s="49"/>
    </row>
    <row r="8" spans="1:12">
      <c r="A8" s="48"/>
      <c r="B8" s="24"/>
      <c r="C8" s="51"/>
      <c r="D8" s="50"/>
      <c r="E8" s="50"/>
      <c r="F8" s="50"/>
      <c r="G8" s="49"/>
      <c r="H8" s="49"/>
      <c r="J8" s="49"/>
    </row>
    <row r="9" spans="1:12">
      <c r="A9" s="48"/>
      <c r="B9" s="24"/>
      <c r="C9" s="51"/>
      <c r="D9" s="50"/>
      <c r="E9" s="50"/>
      <c r="F9" s="50"/>
      <c r="G9" s="49"/>
      <c r="H9" s="49"/>
      <c r="J9" s="49"/>
    </row>
    <row r="10" spans="1:12">
      <c r="A10" s="48"/>
      <c r="B10" s="24"/>
      <c r="C10" s="51"/>
      <c r="D10" s="50"/>
      <c r="E10" s="50"/>
      <c r="F10" s="50"/>
      <c r="G10" s="49"/>
      <c r="H10" s="49"/>
      <c r="J10" s="49"/>
    </row>
    <row r="11" spans="1:12">
      <c r="A11" s="48"/>
      <c r="B11" s="24"/>
      <c r="C11" s="51"/>
      <c r="D11" s="50"/>
      <c r="E11" s="50"/>
      <c r="F11" s="50"/>
      <c r="G11" s="49"/>
      <c r="H11" s="49"/>
      <c r="J11" s="49"/>
    </row>
    <row r="12" spans="1:12">
      <c r="A12" s="48"/>
      <c r="B12" s="24"/>
      <c r="C12" s="51"/>
      <c r="D12" s="50"/>
      <c r="E12" s="50"/>
      <c r="F12" s="50"/>
      <c r="G12" s="49"/>
      <c r="H12" s="49"/>
      <c r="J12" s="49"/>
    </row>
    <row r="13" spans="1:12">
      <c r="A13" s="48"/>
      <c r="B13" s="24"/>
      <c r="C13" s="51"/>
      <c r="D13" s="50"/>
      <c r="E13" s="50"/>
      <c r="F13" s="50"/>
      <c r="G13" s="49"/>
      <c r="H13" s="49"/>
      <c r="J13" s="49"/>
    </row>
  </sheetData>
  <dataValidations count="1">
    <dataValidation type="list" allowBlank="1" showInputMessage="1" showErrorMessage="1" sqref="A4">
      <formula1>personal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Adelanto</vt:lpstr>
      <vt:lpstr>Datos</vt:lpstr>
      <vt:lpstr>Hoja3</vt:lpstr>
      <vt:lpstr>Registro</vt:lpstr>
      <vt:lpstr>cargadatos</vt:lpstr>
      <vt:lpstr>Adelanto!Área_de_impresión</vt:lpstr>
      <vt:lpstr>Empleados</vt:lpstr>
      <vt:lpstr>Mes</vt:lpstr>
    </vt:vector>
  </TitlesOfParts>
  <Company>Windows uE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WinuE</dc:creator>
  <cp:lastModifiedBy>Obras Publicas</cp:lastModifiedBy>
  <cp:lastPrinted>2016-04-05T16:34:55Z</cp:lastPrinted>
  <dcterms:created xsi:type="dcterms:W3CDTF">2013-01-24T13:03:25Z</dcterms:created>
  <dcterms:modified xsi:type="dcterms:W3CDTF">2016-11-22T14:16:18Z</dcterms:modified>
</cp:coreProperties>
</file>