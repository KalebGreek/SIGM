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00" yWindow="1308" windowWidth="14028" windowHeight="7188" activeTab="2"/>
  </bookViews>
  <sheets>
    <sheet name="Adelanto" sheetId="1" r:id="rId1"/>
    <sheet name="Datos" sheetId="3" r:id="rId2"/>
    <sheet name="Hoja3" sheetId="7" r:id="rId3"/>
  </sheets>
  <functionGroups builtInGroupCount="17"/>
  <externalReferences>
    <externalReference r:id="rId4"/>
  </externalReferences>
  <definedNames>
    <definedName name="_xlnm._FilterDatabase" localSheetId="1" hidden="1">Datos!$A$1:$A$129</definedName>
    <definedName name="_xlnm._FilterDatabase" localSheetId="2" hidden="1">Hoja3!$A$1:$N$679</definedName>
    <definedName name="_xlnm.Print_Area" localSheetId="0">Adelanto!$A$1:$AI$69</definedName>
    <definedName name="Empleados">Datos!$A$2:$A$129</definedName>
    <definedName name="Fecha">Datos!#REF!</definedName>
    <definedName name="Mes">Datos!$B$1:$B$14</definedName>
    <definedName name="personal">[1]Contratados!$A:$A</definedName>
    <definedName name="TODOS">[1]ADELANTOS!$A$93:$A$202</definedName>
  </definedNames>
  <calcPr calcId="144525"/>
</workbook>
</file>

<file path=xl/calcChain.xml><?xml version="1.0" encoding="utf-8"?>
<calcChain xmlns="http://schemas.openxmlformats.org/spreadsheetml/2006/main">
  <c r="C679" i="7" l="1"/>
  <c r="C678" i="7"/>
  <c r="E643" i="7"/>
  <c r="E620" i="7"/>
  <c r="E581" i="7"/>
  <c r="C505" i="7"/>
  <c r="S18" i="1"/>
  <c r="B6" i="1"/>
  <c r="B26" i="1"/>
  <c r="B34" i="1"/>
  <c r="B36" i="1"/>
  <c r="B32" i="1"/>
  <c r="B18" i="1"/>
  <c r="R16" i="1"/>
  <c r="AB54" i="1"/>
  <c r="Z16" i="1"/>
  <c r="C392" i="7" l="1"/>
  <c r="C391" i="7" l="1"/>
  <c r="C411" i="7" l="1"/>
  <c r="C410" i="7"/>
  <c r="C406" i="7"/>
  <c r="C381" i="7"/>
  <c r="C380" i="7"/>
  <c r="C335" i="7"/>
  <c r="C33" i="7"/>
  <c r="E367" i="7"/>
  <c r="E364" i="7"/>
  <c r="E151" i="7"/>
  <c r="C246" i="7"/>
  <c r="AE38" i="1"/>
  <c r="E16" i="1"/>
  <c r="B30" i="1"/>
  <c r="T14" i="1"/>
  <c r="C245" i="7" l="1"/>
  <c r="C244" i="7"/>
  <c r="C242" i="7"/>
  <c r="C241" i="7"/>
  <c r="C240" i="7"/>
  <c r="C239" i="7"/>
  <c r="C238" i="7"/>
  <c r="C193" i="7"/>
  <c r="C192" i="7"/>
  <c r="C40" i="1"/>
  <c r="C177" i="7" l="1"/>
  <c r="C172" i="7" l="1"/>
  <c r="C171" i="7"/>
  <c r="C170" i="7"/>
  <c r="C169" i="7"/>
  <c r="C168" i="7"/>
  <c r="C167" i="7"/>
  <c r="C166" i="7"/>
  <c r="C164" i="7" l="1"/>
  <c r="C162" i="7"/>
  <c r="C158" i="7" l="1"/>
  <c r="C152" i="7" l="1"/>
  <c r="C150" i="7"/>
  <c r="C149" i="7"/>
  <c r="C126" i="7" l="1"/>
  <c r="C125" i="7"/>
  <c r="C124" i="7"/>
  <c r="C123" i="7"/>
  <c r="C122" i="7"/>
  <c r="C121" i="7"/>
  <c r="C120" i="7"/>
  <c r="C127" i="7"/>
  <c r="C102" i="7" l="1"/>
  <c r="C97" i="7" l="1"/>
  <c r="C96" i="7"/>
  <c r="C95" i="7"/>
  <c r="C94" i="7"/>
  <c r="C93" i="7"/>
  <c r="C90" i="7"/>
  <c r="C92" i="7"/>
  <c r="C91" i="7"/>
  <c r="C73" i="7" l="1"/>
  <c r="C63" i="7" l="1"/>
  <c r="C62" i="7" l="1"/>
  <c r="C61" i="7" l="1"/>
  <c r="C60" i="7" l="1"/>
  <c r="C59" i="7" l="1"/>
  <c r="C50" i="7" l="1"/>
  <c r="C49" i="7" l="1"/>
  <c r="C47" i="7" l="1"/>
  <c r="C7" i="7"/>
  <c r="C13" i="7"/>
  <c r="C26" i="7"/>
  <c r="C5" i="7"/>
  <c r="C41" i="7"/>
  <c r="C20" i="7"/>
  <c r="C9" i="7"/>
  <c r="C32" i="7"/>
  <c r="C24" i="7"/>
  <c r="C34" i="7"/>
  <c r="C15" i="7"/>
  <c r="C28" i="7"/>
  <c r="C38" i="7"/>
  <c r="C36" i="7"/>
  <c r="C3" i="7"/>
  <c r="C17" i="7" l="1"/>
  <c r="C10" i="7"/>
  <c r="C4" i="7"/>
  <c r="C12" i="7"/>
  <c r="C25" i="7"/>
  <c r="C16" i="7"/>
  <c r="C19" i="7"/>
  <c r="C8" i="7"/>
  <c r="C31" i="7"/>
  <c r="C23" i="7"/>
  <c r="C14" i="7"/>
  <c r="C27" i="7"/>
  <c r="C37" i="7"/>
  <c r="C35" i="7"/>
  <c r="C2" i="7"/>
  <c r="B24" i="1" l="1"/>
  <c r="B28" i="1"/>
</calcChain>
</file>

<file path=xl/sharedStrings.xml><?xml version="1.0" encoding="utf-8"?>
<sst xmlns="http://schemas.openxmlformats.org/spreadsheetml/2006/main" count="7297" uniqueCount="1698">
  <si>
    <t>Albornoz, Leonardo</t>
  </si>
  <si>
    <t>Altamirano, Daniel</t>
  </si>
  <si>
    <t>Altamirano, Patricia</t>
  </si>
  <si>
    <t>Altamirano, Mauricio Gaston</t>
  </si>
  <si>
    <t>Andrada, Carlos Enrique</t>
  </si>
  <si>
    <t>Arguello, Giselle</t>
  </si>
  <si>
    <t>Arguello, Rubén Guillermo</t>
  </si>
  <si>
    <t>Arguello, Victor Oscar</t>
  </si>
  <si>
    <t>Assis, Victor</t>
  </si>
  <si>
    <t>Astorga, Andrés</t>
  </si>
  <si>
    <t>Avaca, Walter Emir</t>
  </si>
  <si>
    <t>Avila, Silvia Graciela</t>
  </si>
  <si>
    <t>Baigorria, Mario Humberto</t>
  </si>
  <si>
    <t>Barroso, Mario Andres</t>
  </si>
  <si>
    <t>Barruty, Nancy</t>
  </si>
  <si>
    <t>Bazán, Luis Antonio</t>
  </si>
  <si>
    <t>Bonfiglio, María Esther</t>
  </si>
  <si>
    <t>Bustos Reynoso, Maria Antonella</t>
  </si>
  <si>
    <t>Bustos, Elena</t>
  </si>
  <si>
    <t>Castro, Mónica Marcela</t>
  </si>
  <si>
    <t>Ceballos, Miguel Angel</t>
  </si>
  <si>
    <t>Ceballos, Miguel Antonio</t>
  </si>
  <si>
    <t>Cejas, Mario</t>
  </si>
  <si>
    <t>Dominguez, Lucía</t>
  </si>
  <si>
    <t>Dominguez, Pedro José</t>
  </si>
  <si>
    <t>Escudero, Marcela</t>
  </si>
  <si>
    <t>Escudero, Silvia</t>
  </si>
  <si>
    <t xml:space="preserve">Ferrero, Fabian </t>
  </si>
  <si>
    <t>Ferrero, Pablo Ariel</t>
  </si>
  <si>
    <t>Ferreyra, Celsa</t>
  </si>
  <si>
    <t>Fúnes, Evangelina</t>
  </si>
  <si>
    <t>Gallardo, Hipólito</t>
  </si>
  <si>
    <t>Gómes, Celeste</t>
  </si>
  <si>
    <t>Heredia, Maria Ines</t>
  </si>
  <si>
    <t>Hualpa, Cesar</t>
  </si>
  <si>
    <t>Iriarte, Raul</t>
  </si>
  <si>
    <t>Leyría, Luis Alberto</t>
  </si>
  <si>
    <t>Leyría, Rosario</t>
  </si>
  <si>
    <t>Ligorria, Alejandro</t>
  </si>
  <si>
    <t>Ligorria, Claudia</t>
  </si>
  <si>
    <t>López, Verónica Patricia</t>
  </si>
  <si>
    <t>Maldonado, Victor Hugo</t>
  </si>
  <si>
    <t>Maldonado, Walter</t>
  </si>
  <si>
    <t>Mancera, Maximiliano</t>
  </si>
  <si>
    <t>Miranda, Carlos</t>
  </si>
  <si>
    <t>Miranda, Carolina</t>
  </si>
  <si>
    <t>Molina, Aldo</t>
  </si>
  <si>
    <t>Molina, Julio</t>
  </si>
  <si>
    <t>Montenegro, Luciana</t>
  </si>
  <si>
    <t>Mores, Nelson Exequiel</t>
  </si>
  <si>
    <t>Oliva, Guillermo</t>
  </si>
  <si>
    <t>Oliva, Laura Inés</t>
  </si>
  <si>
    <t>Olmedo, Alberto</t>
  </si>
  <si>
    <t>Olmedo, Ariana Noelia</t>
  </si>
  <si>
    <t>Olmedo, Mónica</t>
  </si>
  <si>
    <t>Olmedo, Victor Daniel</t>
  </si>
  <si>
    <t>Ortega, Jorge Enrique</t>
  </si>
  <si>
    <t>Ortega, Matias Ezequiel</t>
  </si>
  <si>
    <t>ORTIZ, Carolina Cecilia del Rosario</t>
  </si>
  <si>
    <t>Ortiz, Flora del Valle</t>
  </si>
  <si>
    <t>Ortiz, José Dionisio</t>
  </si>
  <si>
    <t>Oviedo, Javier Omar</t>
  </si>
  <si>
    <t>Oviedo, Jorge Eduardo</t>
  </si>
  <si>
    <t>Oviedo, Pablo</t>
  </si>
  <si>
    <t>Oviedo, Teresita</t>
  </si>
  <si>
    <t>Pereyra Varas, Maria Celeste</t>
  </si>
  <si>
    <t>Pereyra, Jorge Omar</t>
  </si>
  <si>
    <t>Perez, Erica Soledad</t>
  </si>
  <si>
    <t>Perez, Matías</t>
  </si>
  <si>
    <t>Perez, Miriam Natalia</t>
  </si>
  <si>
    <t>Ramirez, Adrian</t>
  </si>
  <si>
    <t>Ramirez, Diego Alberto</t>
  </si>
  <si>
    <t>Ramirez, Domingo Alberto</t>
  </si>
  <si>
    <t>Ramirez, Luis</t>
  </si>
  <si>
    <t>Rébora, Enrique Facundo</t>
  </si>
  <si>
    <t>Rébora, Enrique Rodolfo</t>
  </si>
  <si>
    <t>Rivero, Julio Cesar</t>
  </si>
  <si>
    <t>Rodriguez, Mario Horacio</t>
  </si>
  <si>
    <t>Romero, Mónica</t>
  </si>
  <si>
    <t>Romero, Raquel</t>
  </si>
  <si>
    <t>Roveres, Martín</t>
  </si>
  <si>
    <t>Ruiz Barruti, Princesa</t>
  </si>
  <si>
    <t>Salgado, Carlos Alberto</t>
  </si>
  <si>
    <t>Sanchez, Carlos Adan</t>
  </si>
  <si>
    <t>Santillán, José</t>
  </si>
  <si>
    <t>Sosa, Angel Eduardo</t>
  </si>
  <si>
    <t>Sosa, Claudia Marta</t>
  </si>
  <si>
    <t>Sosa, María Alejandra</t>
  </si>
  <si>
    <t>Sosa, Noel Armando</t>
  </si>
  <si>
    <t>Tapia, Omar</t>
  </si>
  <si>
    <t>Vallejo, Carlos Rufino</t>
  </si>
  <si>
    <t>Vergara, Lilia Ines</t>
  </si>
  <si>
    <t>Yriarte, Marisa</t>
  </si>
  <si>
    <t>Zapata, Eliana Gisela</t>
  </si>
  <si>
    <t>Empleado</t>
  </si>
  <si>
    <t>Muñoz, Susana Raquel</t>
  </si>
  <si>
    <t>Sanchez, Daniela Karina</t>
  </si>
  <si>
    <t>Sanchez, Norma Beatriz</t>
  </si>
  <si>
    <t>Olmedo, Maria Gabriela</t>
  </si>
  <si>
    <t>Ramirez, Facundo</t>
  </si>
  <si>
    <t>Gauna, Roxana</t>
  </si>
  <si>
    <t>Pereyra, Liliana</t>
  </si>
  <si>
    <t>Martinez, Jose</t>
  </si>
  <si>
    <t>Cohen, Maria de los Angeles</t>
  </si>
  <si>
    <t>Olmos, Angélica no</t>
  </si>
  <si>
    <t>Fozzatti, Julio Alberto no</t>
  </si>
  <si>
    <t>Milanesio, Ruben Dario</t>
  </si>
  <si>
    <t>Reymundo, Rodolfo Rogelio no</t>
  </si>
  <si>
    <t>Arrascaeta, Raul Abel no</t>
  </si>
  <si>
    <t>Olmedo, Raul Alberto no</t>
  </si>
  <si>
    <t>Avaca, Elsa Rosa no</t>
  </si>
  <si>
    <t>Bazán, Fabio no</t>
  </si>
  <si>
    <t>Lopez, Maria Fernanda no</t>
  </si>
  <si>
    <t>Cruz, Judith no</t>
  </si>
  <si>
    <t>Altamirano, Viviana no</t>
  </si>
  <si>
    <t>DNI</t>
  </si>
  <si>
    <t>Aguirre, Claudio Manuel</t>
  </si>
  <si>
    <t>CONTRATO DE LOCACION DE SERVICIOS</t>
  </si>
  <si>
    <t>En la localidad de Villa de las Rosas, Dpto. San Javier, Provincia de Córdoba, a</t>
  </si>
  <si>
    <t>LEONARDO ALBORNOZ</t>
  </si>
  <si>
    <t xml:space="preserve">, DNI N° </t>
  </si>
  <si>
    <t>22,104,088</t>
  </si>
  <si>
    <t xml:space="preserve">, en su carácter de Secretario de </t>
  </si>
  <si>
    <t>Gobierno y Hacienda; y por la otra parte</t>
  </si>
  <si>
    <t xml:space="preserve">, domiciliado en calle </t>
  </si>
  <si>
    <t>de la localidad de</t>
  </si>
  <si>
    <r>
      <t xml:space="preserve"> domicilio legal en la calle Guasmara Este N° 93 </t>
    </r>
    <r>
      <rPr>
        <i/>
        <sz val="10"/>
        <rFont val="Segoe UI"/>
        <family val="2"/>
      </rPr>
      <t xml:space="preserve">en este acto </t>
    </r>
    <r>
      <rPr>
        <sz val="10"/>
        <rFont val="Segoe UI"/>
        <family val="2"/>
      </rPr>
      <t>representada por el Sr.</t>
    </r>
  </si>
  <si>
    <t>, entre la Municipalidad de Villa de las Rosas, con</t>
  </si>
  <si>
    <t xml:space="preserve">para el siguiente trabajo: </t>
  </si>
  <si>
    <r>
      <rPr>
        <b/>
        <sz val="10"/>
        <rFont val="Segoe UI"/>
        <family val="2"/>
      </rPr>
      <t>PRIMERA:</t>
    </r>
    <r>
      <rPr>
        <sz val="10"/>
        <rFont val="Segoe UI"/>
        <family val="2"/>
      </rPr>
      <t xml:space="preserve"> Objeto: La Municipalidad de Villa de Las Rosas contrata los servicios del señor</t>
    </r>
    <r>
      <rPr>
        <sz val="14"/>
        <rFont val="Times New Roman"/>
        <family val="1"/>
      </rPr>
      <t xml:space="preserve"> </t>
    </r>
  </si>
  <si>
    <t>Nº Documento</t>
  </si>
  <si>
    <t>precio</t>
  </si>
  <si>
    <t xml:space="preserve">Pereyra, Exequiel </t>
  </si>
  <si>
    <t>Dominguez, Sergio Alberto</t>
  </si>
  <si>
    <t xml:space="preserve">Hualpa, Natalia </t>
  </si>
  <si>
    <t xml:space="preserve">Oviedo, Pablo </t>
  </si>
  <si>
    <t>Gonzalez, Nora</t>
  </si>
  <si>
    <t xml:space="preserve">Villalobos, Mario </t>
  </si>
  <si>
    <t>domicilio</t>
  </si>
  <si>
    <t xml:space="preserve">localidad </t>
  </si>
  <si>
    <t xml:space="preserve">provincia </t>
  </si>
  <si>
    <t>Villa de las Rosas</t>
  </si>
  <si>
    <t>numero</t>
  </si>
  <si>
    <t>s/n</t>
  </si>
  <si>
    <t xml:space="preserve">provincia de </t>
  </si>
  <si>
    <t xml:space="preserve">convienen celebrar el presente </t>
  </si>
  <si>
    <t>renglon1</t>
  </si>
  <si>
    <t>renglon2</t>
  </si>
  <si>
    <t>renglon3</t>
  </si>
  <si>
    <t>(</t>
  </si>
  <si>
    <t>)</t>
  </si>
  <si>
    <t>TERCERA: El contratista libera en forma expresa a esta Municipalidad de todo tipo de respon-</t>
  </si>
  <si>
    <t xml:space="preserve">sabilidad por las consecuencias que pudieran derivarse de accidentes que sufra el mismo o </t>
  </si>
  <si>
    <t>los empleados a su cargo como así también la maquinaria. De igual manera el contratante</t>
  </si>
  <si>
    <t>queda liberada de las obligaciones derivadas de las aplicaciones de las leyes Provinciales, aportes, cargas sociales, impositivas nacionales y provinciales, etc., todos estos serán asumidos en forma exclusiva por la contratista tanto en lo que respecta a su persona como a los empleados a contratar.</t>
  </si>
  <si>
    <t>Eventos de la Plaza San Martin a $20/hora ---------------------------------------------------------------------</t>
  </si>
  <si>
    <r>
      <rPr>
        <b/>
        <sz val="10"/>
        <rFont val="Segoe UI"/>
        <family val="2"/>
      </rPr>
      <t>QUINTA:</t>
    </r>
    <r>
      <rPr>
        <sz val="10"/>
        <rFont val="Segoe UI"/>
        <family val="2"/>
      </rPr>
      <t xml:space="preserve"> Cualquier tarea adicional que surgiera no se le reconocerá al contratista si no ha sido autorizada expresamente. </t>
    </r>
  </si>
  <si>
    <t>publica</t>
  </si>
  <si>
    <t>Còrdoba</t>
  </si>
  <si>
    <t xml:space="preserve"> '--------------------------------------------------------------------------------------------------------------------------------</t>
  </si>
  <si>
    <t xml:space="preserve"> 263 horas trabajadas en Balneario Guasmara a $15,25/hora mas 20 horas trabajadas en</t>
  </si>
  <si>
    <t xml:space="preserve"> 234 horas trabajadas en Balneario Guasmara a $15,25/hora mas 07 horas trabajadas en</t>
  </si>
  <si>
    <t xml:space="preserve"> 231 horas trabajadas en Balneario Guasmara a $15,25/hora ------------------------------------------</t>
  </si>
  <si>
    <t xml:space="preserve"> -----------------------------------------------------------------------------------------------------------------------------------</t>
  </si>
  <si>
    <t xml:space="preserve"> 238 horas trabajadas en Balneario Guasmara a $15,25/hora ------------------------------------------</t>
  </si>
  <si>
    <t xml:space="preserve"> 223 horas trabajadas en Balneario Guasmara a $15,25/hora ------------------------------------------</t>
  </si>
  <si>
    <t xml:space="preserve"> 181 horas trabajadas en Balneario Guasmara a $15,25/hora ------------------------------------------</t>
  </si>
  <si>
    <t xml:space="preserve"> 217 horas trabajadas en Balneario Guasmara a $15,25/hora ------------------------------------------</t>
  </si>
  <si>
    <t xml:space="preserve"> 294 horas trabajadas en Balneario Guasmara a $15,25/hora ------------------------------------------</t>
  </si>
  <si>
    <t xml:space="preserve">Trabajos realizados de mantenimiento en Balneario Gasmara contratado por mes </t>
  </si>
  <si>
    <t xml:space="preserve">Trabajo Realizado de Guardia Nocturna en Balneario Guasmara Contratado por mes </t>
  </si>
  <si>
    <t xml:space="preserve"> 80,5 horas trabajadas en transitoa $15,25/hora ------------------------------------------</t>
  </si>
  <si>
    <t xml:space="preserve">Garcia, Adriana </t>
  </si>
  <si>
    <t xml:space="preserve">Merino, Carlos Alberto </t>
  </si>
  <si>
    <t xml:space="preserve"> 110,5 horas trabajadas en transito a $15,25/hora ------------------------------------------</t>
  </si>
  <si>
    <t xml:space="preserve">Arguello, Gabriela </t>
  </si>
  <si>
    <t xml:space="preserve"> 128 horas trabajadas en transito a $15,25/hora ------------------------------------------</t>
  </si>
  <si>
    <t>FLEITA, ADRIAN</t>
  </si>
  <si>
    <t>EDUARDO GAUNA</t>
  </si>
  <si>
    <t>SALTA</t>
  </si>
  <si>
    <t>FEBREO DE 2013 EN CLUB ATRLETICO LAS ROSAS ………………………………………</t>
  </si>
  <si>
    <t xml:space="preserve">actuar con su grupo musical “LOS CEIBALES” en el evento llevado a cavo el día 02 DE  </t>
  </si>
  <si>
    <t>DUJE, SERGIO ANTONIO</t>
  </si>
  <si>
    <t xml:space="preserve">actuar con su grupo musical “C´ DUJE” POR 1500 PESOS Y EL GRUPO "ALMAS EN </t>
  </si>
  <si>
    <t>CLUB ATRLETICO LAS ROSAS ………………………………………</t>
  </si>
  <si>
    <t xml:space="preserve">FUSION" POR $2200    en el evento llevado a cavo el día 02 DE  FEBREO DE 2013 EN </t>
  </si>
  <si>
    <t>LOS PLATANOS</t>
  </si>
  <si>
    <t>SARGENTO CABRAL</t>
  </si>
  <si>
    <t>VILLA DE LAS ROSAS</t>
  </si>
  <si>
    <t xml:space="preserve">SORIANO MOLINA </t>
  </si>
  <si>
    <t xml:space="preserve">ABASTECER 1000 KG DE LEÑA PARA EVENTOS MUNICIPALES EN EL MES DE ENERO </t>
  </si>
  <si>
    <t xml:space="preserve">B° BUEN RETIRO </t>
  </si>
  <si>
    <t>LOPEZ JOSE AGUSTO</t>
  </si>
  <si>
    <t>actuar con su grupo musical  en el evento DESPEDIDA DE AÑO 2012</t>
  </si>
  <si>
    <t xml:space="preserve">VILLA DOLORES </t>
  </si>
  <si>
    <t>KAUER, SEBASTIAN FELIPE</t>
  </si>
  <si>
    <t>TRABAJO RALIZADO POR DOS SEMANAS EN MANTENIMIENTO DE SISTEMAS INFOR-</t>
  </si>
  <si>
    <t>MATICO -------------------------------------------------------------------------------------------------------------------------</t>
  </si>
  <si>
    <t xml:space="preserve">DEL NOGAL </t>
  </si>
  <si>
    <t xml:space="preserve">LOS POZOS </t>
  </si>
  <si>
    <t>AYALA HECTOR</t>
  </si>
  <si>
    <t xml:space="preserve">actuar con su grupo musical “EL CHANGO AYALA Y GRUPO ARGENTNO” en el evento llevado a cavo  </t>
  </si>
  <si>
    <t>EL DIA 17 FEBREO DE 2013 EN LA PLAZA SAN MARTIN………………………</t>
  </si>
  <si>
    <t>MARCELINO POULET</t>
  </si>
  <si>
    <t>SAN LUIS</t>
  </si>
  <si>
    <t>GUARDIA RODRIGO</t>
  </si>
  <si>
    <t>actuar con su grupo musical “RICARDO BARRERA” en el evento llevado a cavo  EL DIA 17</t>
  </si>
  <si>
    <t>DE FEBRERO DE 2013 EN LA PLAZA SAN MARTIN………………………</t>
  </si>
  <si>
    <t xml:space="preserve">25 DE MAYO </t>
  </si>
  <si>
    <t>HULAPES</t>
  </si>
  <si>
    <t xml:space="preserve"> 208 horas trabajadas en Balneario Guasmara a $15,25/hora mas 45 horas trabajadas en</t>
  </si>
  <si>
    <t xml:space="preserve"> 198 horas trabajadas en Balneario Guasmara a $15,25/hora mas 07 horas trabajadas en</t>
  </si>
  <si>
    <t xml:space="preserve"> 130 horas trabajadas en Balneario Guasmara a $15,25/hora ------------------------------------------</t>
  </si>
  <si>
    <t xml:space="preserve"> 208 horas trabajadas en Balneario Guasmara a $15,25/hora ------------------------------------------</t>
  </si>
  <si>
    <t xml:space="preserve"> 191 horas trabajadas en Balneario Guasmara a $15,25/hora ------------------------------------------</t>
  </si>
  <si>
    <t xml:space="preserve"> 149 horas trabajadas en Balneario Guasmara a $15,25/hora ------------------------------------------</t>
  </si>
  <si>
    <t xml:space="preserve"> 122 horas trabajadas en Balneario Guasmara a $15,25/hora ------------------------------------------</t>
  </si>
  <si>
    <t xml:space="preserve"> 298 horas trabajadas en Balneario Guasmara a $15,25/hora ------------------------------------------</t>
  </si>
  <si>
    <t xml:space="preserve"> 126 horas trabajadas en Balneario Guasmara a $15,25/hora ------------------------------------------</t>
  </si>
  <si>
    <t xml:space="preserve"> 196 horas trabajadas en Balneario Guasmara a $15,25/hora ------------------------------------------</t>
  </si>
  <si>
    <t xml:space="preserve"> 110 horas trabajadas en transito a $15,25/hora ------------------------------------------</t>
  </si>
  <si>
    <t>140,5 horas trabajadas en transitoa $15,25/hora ------------------------------------------</t>
  </si>
  <si>
    <t xml:space="preserve"> 100,5 horas trabajadas en transito a $15,25/hora ------------------------------------------</t>
  </si>
  <si>
    <t>49 horas trabajadas en Obras Publicas  a $15,25/hora ------------------------------------------</t>
  </si>
  <si>
    <t xml:space="preserve">AGÜERO TOMAS </t>
  </si>
  <si>
    <t xml:space="preserve">actuar con su grupo musical “PATRICIA PARADA” POR 1500 PESOS    en el evento llevado </t>
  </si>
  <si>
    <t xml:space="preserve">  a cavo en el evento llevado a cavo el día 02 DE  MARZO DE 2013 EN </t>
  </si>
  <si>
    <t xml:space="preserve">ALMIRANTE BROUN </t>
  </si>
  <si>
    <t xml:space="preserve">BRISUELA JOSE LUIS </t>
  </si>
  <si>
    <t xml:space="preserve">actuar con su grupo musical “CHACHO PERALTA Y OCAÑO Y SUS CHAMAMECEROS” POR  </t>
  </si>
  <si>
    <t>DE 2013 EN CLUB ATRLETICO LAS ROSAS ………………………………………</t>
  </si>
  <si>
    <t xml:space="preserve">  6000 PESOS en el evento llevadoa cavo en el evento llevado a cavo el día 02 DE  MARZO </t>
  </si>
  <si>
    <t xml:space="preserve">GUASMARA </t>
  </si>
  <si>
    <t>OCHOA RAFAEL</t>
  </si>
  <si>
    <t xml:space="preserve">actuar con su grupo musical “LOS CAMINANTES” POR 600 PESOS    en el evento llevado </t>
  </si>
  <si>
    <t xml:space="preserve">LOS MOLLES </t>
  </si>
  <si>
    <t>SANCHEZ ERNESTO</t>
  </si>
  <si>
    <t xml:space="preserve">actuar con su grupo musical “LA LEYENDA CON RUBINNO” POR 16000 PESOS    en el </t>
  </si>
  <si>
    <t xml:space="preserve"> evento llevado  a cavo en el evento llevado a cavo el día 02 DE  MARZO DE 2013 EN </t>
  </si>
  <si>
    <t>PEDRO C MOLINA</t>
  </si>
  <si>
    <t>actuar con su grupo musical “RICARDO BARRERA” en el evento llevado a cavo  EL DIA 02</t>
  </si>
  <si>
    <t>DE MARZO DE 2013 EN CLUB ATRLETICO LAS ROSAS -----------------------------------------------</t>
  </si>
  <si>
    <t>LA RIOJA</t>
  </si>
  <si>
    <t xml:space="preserve"> 60 horas trabajadas en transitoa $15,25/hora ------------------------------------------</t>
  </si>
  <si>
    <t>TRABAJO RALIZADO POR TRES DIAS  EN MANTENIMIENTO DE SISTEMAS INFOR-</t>
  </si>
  <si>
    <t>MATICO, RECUPERACION DE SERVER POR FALLAS ELECTRICAS -------------------------------</t>
  </si>
  <si>
    <t xml:space="preserve"> 108 horas trabajadas en transito a $15,25/hora ------------------------------------------</t>
  </si>
  <si>
    <t>61horas trabajadas en transito a $15,25/hora ------------------------------------------</t>
  </si>
  <si>
    <t xml:space="preserve">Celiz, Jorge Luis </t>
  </si>
  <si>
    <t xml:space="preserve">actuar con su grupo musical “LA BANDA DE DON CELIZ” POR 1600 PESOS    en el </t>
  </si>
  <si>
    <t xml:space="preserve"> evento llevado  a cavo en el evento llevado a cavo el día 30 DE  MARZO DE 2013 EN </t>
  </si>
  <si>
    <t>EL 1º FESTIVAL DE LA DULZURA TRANSERRANA QUEBRADA DE LOS POZOS</t>
  </si>
  <si>
    <t>REMEDIO DE ESCALADA</t>
  </si>
  <si>
    <t xml:space="preserve">actuar con su grupo musical “DUO SUMAMPA” POR 2000 PESOS    en el </t>
  </si>
  <si>
    <t>Bequi, Miguel Angel</t>
  </si>
  <si>
    <t xml:space="preserve">Av. Arturo Ilia </t>
  </si>
  <si>
    <t xml:space="preserve">Matos, Juan Carlos </t>
  </si>
  <si>
    <t xml:space="preserve">actuar con su grupo musical “CARLOS MATOS” POR 500 PESOS    en el </t>
  </si>
  <si>
    <t>LOS MOLLES</t>
  </si>
  <si>
    <t>mantenimiento de pagina web tres paginas por 300 pesos ---------------------------------------------</t>
  </si>
  <si>
    <t xml:space="preserve">Suarez, Osvaldo Roque </t>
  </si>
  <si>
    <t xml:space="preserve">actuar con su grupo musical “ADN” POR 4000 PESOS    en el </t>
  </si>
  <si>
    <t xml:space="preserve"> evento llevado  a cavo en el evento llevado a cavo el día 14 DE  abril DE 2013 EN </t>
  </si>
  <si>
    <t>EL PREDIO EX PICARDO PICARDO ---------------------------------------------------------------------------------</t>
  </si>
  <si>
    <t xml:space="preserve">JULIO A ROCA </t>
  </si>
  <si>
    <t xml:space="preserve">actuar con su grupo musical “DUO SUMAMPA” POR 1000 PESOS    en el </t>
  </si>
  <si>
    <t>Garcia, Manuel Alberto</t>
  </si>
  <si>
    <t xml:space="preserve">actuar con su grupo musical “LOS CANTORES DEL ALBA” POR 5500 PESOS    en el </t>
  </si>
  <si>
    <t xml:space="preserve">Benito Soria </t>
  </si>
  <si>
    <t>Cordoba</t>
  </si>
  <si>
    <t xml:space="preserve">actuar con su grupo musical “CHINO MENO” POR 2000 PESOS    en el </t>
  </si>
  <si>
    <t xml:space="preserve"> 124 horas trabajadas en LIMPIEZA DISPENSARIO a $15,25/hora -----------------------------------------</t>
  </si>
  <si>
    <t xml:space="preserve"> 56 horas trabajadas en transito por  $1095,28 ------------------------------------------</t>
  </si>
  <si>
    <t>Montiel, Nidia Beatriz</t>
  </si>
  <si>
    <t xml:space="preserve"> 44 horas trabajadas en transito por  $819,72 ------------------------------------------</t>
  </si>
  <si>
    <t>libertador urquiza</t>
  </si>
  <si>
    <t>111,5  horas trabajadas en LIMPIEZA DISPENSARIO a $15,25/hora ----------------------------------------</t>
  </si>
  <si>
    <t xml:space="preserve">REPRESENTANTE DE LOS GRUPOS MUSICALES: “NELIDA BAEZ” POR 1300 PESOS;  "LOS </t>
  </si>
  <si>
    <t>SERENATEROS DE SALTA" por $6000 y "ESTILO SERRANO" POR $1500 para el evento</t>
  </si>
  <si>
    <t>llevado a cavo el dia 25 de agosto "IGNAUGURACION AULAS ESCUELA SECUNDARIA"</t>
  </si>
  <si>
    <t>TELLO CARLOS ANTONIO</t>
  </si>
  <si>
    <t>REPRESENTANTE DEL GRUPO MUSICALE: “LA MONA TELLO” POR 3500 PESOS    para el</t>
  </si>
  <si>
    <t xml:space="preserve">evento llevado a cavo el dia 25 de agosto "IGNAUGURACION AULAS ESCUELA </t>
  </si>
  <si>
    <t>SECUNDARIA"---------------------------------------------------------------------------------------------------------------</t>
  </si>
  <si>
    <t xml:space="preserve">PASAJE MONTIEL </t>
  </si>
  <si>
    <t>S/N</t>
  </si>
  <si>
    <t xml:space="preserve">actuar con su grupo musical “BAILANTA CRIOLLA” POR 1000 PESOS    en el evento llevado </t>
  </si>
  <si>
    <t xml:space="preserve">  a cavo día 07 DE  SEPTIEMBRE DE 2013 IGNAUGURACION RED DE AGUA BUEN </t>
  </si>
  <si>
    <t>RETIRO ……………………………………………………………………………………………</t>
  </si>
  <si>
    <t>TAPIA RENZO</t>
  </si>
  <si>
    <t xml:space="preserve">actuar con su grupo musical “RENZO TAPIA” POR 1500 PESOS    en el evento llevado </t>
  </si>
  <si>
    <t>LOS CEIBOS</t>
  </si>
  <si>
    <t>MINA CLAVERO</t>
  </si>
  <si>
    <t>SILVA JOSE CARLO</t>
  </si>
  <si>
    <t xml:space="preserve">actuar con su grupo musical “JALLIONS” POR 500 PESOS    en el evento llevado </t>
  </si>
  <si>
    <t>ROSAS ……………………………………………………………………………………………</t>
  </si>
  <si>
    <t xml:space="preserve">  a cavo día 28 DE  SEPTIEMBRE DE 2013 2º ENCUENTRO DE MOTO VILLA DE LAS</t>
  </si>
  <si>
    <t>MAITE</t>
  </si>
  <si>
    <t xml:space="preserve">MERLO </t>
  </si>
  <si>
    <t>TORRES JUAN EDUARDO</t>
  </si>
  <si>
    <t xml:space="preserve">actuar "ANIMACION DE EVENTOS DE MOTOS  POR 3500 PESOS    en el evento llevado </t>
  </si>
  <si>
    <t>PJE SAN ANTONIO</t>
  </si>
  <si>
    <t>JURMUSSI ALEX</t>
  </si>
  <si>
    <t xml:space="preserve">actuar con su grupo musical “THE CHICKEN FACES” POR 3000 PESOS    en el evento llevado </t>
  </si>
  <si>
    <t xml:space="preserve">DEAN FUNES </t>
  </si>
  <si>
    <t xml:space="preserve">BOYAJIAN NATALIA </t>
  </si>
  <si>
    <t xml:space="preserve">actuar con su grupo musical “IAN” POR 7000 PESOS    en el evento llevado </t>
  </si>
  <si>
    <t>AVELLANEDA</t>
  </si>
  <si>
    <t>CAPITAL FEDERAL</t>
  </si>
  <si>
    <t>DOMINGUEZ MAXIMILIANO</t>
  </si>
  <si>
    <t xml:space="preserve">actuar con su grupo musical “GTX” POR 2000 PESOS    en el evento llevado </t>
  </si>
  <si>
    <t>SANTOS ROSALES</t>
  </si>
  <si>
    <t>MONTE CRISTO</t>
  </si>
  <si>
    <t>CORDOBA</t>
  </si>
  <si>
    <t>GONZALEZ SEBASTIAN</t>
  </si>
  <si>
    <t xml:space="preserve">actuar con su grupo musical “AURICA” POR 2000 PESOS    en el evento llevado </t>
  </si>
  <si>
    <t xml:space="preserve">SARMIENTO </t>
  </si>
  <si>
    <t>126 horas trabajadas en Obras Publicas  a $22,38/hora ------------------------------------------</t>
  </si>
  <si>
    <t>OLAVO CHACON</t>
  </si>
  <si>
    <t xml:space="preserve">REPRESENTANTE DE LOS GRUPOS MUSICALES: “ESTILO SERRANO” POR 1700 PESOS; </t>
  </si>
  <si>
    <t xml:space="preserve"> para el evento llevado a cavo el dia 06 de OCTUBRE  "ANIVERSARIO CLUB SACACHISPA</t>
  </si>
  <si>
    <t>-----------------------------------------------------------------------------------------------------------------------------------</t>
  </si>
  <si>
    <t xml:space="preserve">REPRESENTANTE DE LOS GRUPOS MUSICALES: “chacho peralta” POR 400 PESOS; </t>
  </si>
  <si>
    <t xml:space="preserve">REPRESENTANTE DE LOS GRUPOS MUSICALES: “FABIANA ROJO” POR 1700 PESOS; </t>
  </si>
  <si>
    <t xml:space="preserve"> para el evento llevado a cavo el dia 13 de OCTUBRE  "IGNAUGURACION SUM MAGDALENA T. </t>
  </si>
  <si>
    <t>DE CHARLES------------------------------------------------------------------------------------------------------------------</t>
  </si>
  <si>
    <t xml:space="preserve">REPRESENTANTE DE LOS GRUPOS MUSICALES: “SANGRE NUEVA” POR 6000 PESOS; </t>
  </si>
  <si>
    <t xml:space="preserve">REPRESENTANTE DE LOS GRUPOS MUSICALES: “ROMERO MELIAN” POR 1600 PESOS; </t>
  </si>
  <si>
    <t xml:space="preserve">Sonido para el evento llevado a cavo el dia 13 de OCTUBRE  para el   "IGNAUGURACION SUM </t>
  </si>
  <si>
    <t>--------------------------------------------------------------------------------------------------------------------------------------</t>
  </si>
  <si>
    <t>MAGDALENA T de Charles; ----------------------------------------------------------------------------------------------------</t>
  </si>
  <si>
    <t xml:space="preserve">Sonido para el evento llevado a cavo el dia 06 de OCTUBRE  para el   "Aniversario Club Sacachispa </t>
  </si>
  <si>
    <t>----------------------------------------------------------------------------------------------------------------------------------------------</t>
  </si>
  <si>
    <t>TELLO HORACIO</t>
  </si>
  <si>
    <t xml:space="preserve">REPRESENTANTE DE LOS GRUPOS MUSICALES: “HORACIO TELLO” POR 1200 PESOS; </t>
  </si>
  <si>
    <t xml:space="preserve"> evento llevado  a cavo día 19 DE  septiembre DE 2013 EN "ignauguracion puente Guasmara"</t>
  </si>
  <si>
    <t>Ortega, Sergio Rolando</t>
  </si>
  <si>
    <t xml:space="preserve">actuar con su grupo musical (incluye sonido) “ANGELES DEL SWIN” POR 4000 PESOS    en el </t>
  </si>
  <si>
    <t xml:space="preserve">Sierras Grandes </t>
  </si>
  <si>
    <t xml:space="preserve"> evento llevado  a cavo día 19 DE  octubre DE 2013 EN "ignauguracion puente Guasmara"</t>
  </si>
  <si>
    <t xml:space="preserve">actuar con su grupo musical “ADN FOLKLORE” POR 3500 PESOS    en el </t>
  </si>
  <si>
    <t>Lopez, Jose Antonio</t>
  </si>
  <si>
    <t xml:space="preserve">actuar con su grupo musical “LOS FESTIVALEROS” POR 1200 PESOS    en el </t>
  </si>
  <si>
    <t xml:space="preserve">EL CEIBO </t>
  </si>
  <si>
    <t xml:space="preserve">ARROLLO DE LOS PATOS </t>
  </si>
  <si>
    <t xml:space="preserve">Sonido y luces para el evento llevado a cavo el dia 16 de novirmbre  para el   "Festival del mate  </t>
  </si>
  <si>
    <t>Serrano" y el evento del dia 17 de noviembre para "2º Festival de la Esquila"--------------------------------</t>
  </si>
  <si>
    <t>ALBARRACIN, DIEGO MARTIN</t>
  </si>
  <si>
    <t xml:space="preserve">actuar con su grupo musical "LA VUELTA" en el evento llevado a cavo el dia 16 de noviembre  </t>
  </si>
  <si>
    <t>en el   "Festival del mate Serrano" -------------------------------------------------------------------------------------------</t>
  </si>
  <si>
    <t>Bv. Antonio Rosse</t>
  </si>
  <si>
    <t xml:space="preserve">BEQUI SIMON </t>
  </si>
  <si>
    <t>actuar con su grupo musical "DUO SUMAMPA" en el evento llevado a cavo el dia 16 de</t>
  </si>
  <si>
    <t xml:space="preserve"> noviembre  en el   "Festival del mate Serrano" ------------------------------------------------------------------------------</t>
  </si>
  <si>
    <t>actuar con su grupo musical "EL CUARTETAZO" en el evento llevado a cavo el dia 07 De</t>
  </si>
  <si>
    <t>diciembre en "PRE COSQUIN 2014" plaza san martin -------------------------------------------------------------</t>
  </si>
  <si>
    <t>92 horas trabajadas en Balneario Guasmara a $22,38/hora ---------------------------------------------------</t>
  </si>
  <si>
    <t>---------------------------------------------------------------------------------------------------------------------------------------------</t>
  </si>
  <si>
    <t>EL ALTO</t>
  </si>
  <si>
    <t>91 horas trabajadas en Balneario Guasmara a $22,38/hora ---------------------------------------------------</t>
  </si>
  <si>
    <t>66horas trabajadas en Balneario Guasmara a $22,38/hora ---------------------------------------------------</t>
  </si>
  <si>
    <t xml:space="preserve">Olmedo, Sofia Natalia </t>
  </si>
  <si>
    <t>95 horas trabajadas en Balneario Guasmara a $22,38/hora ---------------------------------------------------</t>
  </si>
  <si>
    <t>93 horas trabajadas en Balneario Guasmara a $22,38/hora ---------------------------------------------------</t>
  </si>
  <si>
    <t>Molina, Joana Elizabeth</t>
  </si>
  <si>
    <t>OVIEDO, EVELIN MARCELA</t>
  </si>
  <si>
    <t xml:space="preserve">Realizacion y grabacion intregral del Programa Televisado "LA CASA DEL TROBADOR" q se </t>
  </si>
  <si>
    <t>emite por Canal doce y por Sembrando Satelital ---------------------------------------------------------------------</t>
  </si>
  <si>
    <t>Juan Jose Paso</t>
  </si>
  <si>
    <t>ALLIEVI, GERMAN</t>
  </si>
  <si>
    <t>Instalacion de aire acondicionado en Despacho de Hacienda ---------------------------------------------------</t>
  </si>
  <si>
    <t>--------------------------------------------------------------------------------------------------------------------------------------------</t>
  </si>
  <si>
    <t>,-----------------------------------------------------------------------------------------------------------------------------------</t>
  </si>
  <si>
    <t>barranca los loros</t>
  </si>
  <si>
    <t>Ceballos, Jorge</t>
  </si>
  <si>
    <t xml:space="preserve">actuar con su grupo musical “GRUPO ORIGENES” en el evento llevado a cavo  EL DIA 11 DE </t>
  </si>
  <si>
    <t>ENERO DE 2014 EN LA PLAZA SAN MARTIN…,,,,,,,,,,,,,,,,,,,,,,,,,,,,,,,,,,,,,,,,,,,,……………………</t>
  </si>
  <si>
    <t>PASAJE PUBLICO</t>
  </si>
  <si>
    <t xml:space="preserve">VILLA SARMIENTO </t>
  </si>
  <si>
    <t xml:space="preserve">"LOS HERMANOS MELIAN" POR 1800 en el evento llevado a cavo  EL DIA 11 DE ENERO DE </t>
  </si>
  <si>
    <t>2014 EN LA PLAZA SAN MARTIN------------------------------------------------------------------------------------</t>
  </si>
  <si>
    <t>actuar con su grupo musical “ESTILO SERRRANO” POR 1600 PESOS  Y EL GRUPO</t>
  </si>
  <si>
    <t xml:space="preserve">Moran, Roberto </t>
  </si>
  <si>
    <t xml:space="preserve">actuar con su grupo musical “Los Norteños” en el evento llevado a cavo  EL DIA 18 DE </t>
  </si>
  <si>
    <t xml:space="preserve">Pueyrredon </t>
  </si>
  <si>
    <t>Quines</t>
  </si>
  <si>
    <t xml:space="preserve">actuar con su grupo musical “Los Mariachi” en el evento llevado a cavo  EL DIA 18 DE </t>
  </si>
  <si>
    <t xml:space="preserve">actuar con su grupo musical “Los Festivaleros” en el evento llevado a cavo  EL DIA 18 DE </t>
  </si>
  <si>
    <t xml:space="preserve">actuar con su grupo musical “El Cuartetazo” en el evento llevado a cavo  EL DIA 18 DE </t>
  </si>
  <si>
    <t>VIDAL FRANCISCO ANTONIO</t>
  </si>
  <si>
    <t xml:space="preserve">actuar con su grupo musical “LOS HERMANOS VIDAL” en el evento llevado a cavo  EL DIA 24 </t>
  </si>
  <si>
    <t>DE ENERO DE 2014 EN LA PLAZA SAN MARTIN…,,,,,,,,,,,,,,,,,,,,,,,,,,,,,,,,………..………………</t>
  </si>
  <si>
    <t>PERNERA</t>
  </si>
  <si>
    <t>SANTA ROSA DEL CONLARA</t>
  </si>
  <si>
    <t>SORIA HECTOR MIGUEL</t>
  </si>
  <si>
    <t xml:space="preserve">actuar con su grupo musical “LOS WAKKES” en el evento llevado a cavo  EL DIA 24 </t>
  </si>
  <si>
    <t>ULAPES</t>
  </si>
  <si>
    <t>actuar con su grupo musical “RENACER CHAMAMECERO” en el evento llevado a cavo  EL DIA</t>
  </si>
  <si>
    <t>24 DE ENERO DE 2014 EN LA PLAZA SAN MARTIN,,,,,,,,,,,,,,,,,,,,,,,,,………..………………</t>
  </si>
  <si>
    <t xml:space="preserve">FLORIDA </t>
  </si>
  <si>
    <t>CHIRINO JAVIER</t>
  </si>
  <si>
    <t>ROMANYK AYELEN</t>
  </si>
  <si>
    <t>actuar con su grupo musical “LA VUELTA” en el evento llevado a cavo  EL DIA</t>
  </si>
  <si>
    <t>COLON</t>
  </si>
  <si>
    <t>VILLA CURA BROCHERO</t>
  </si>
  <si>
    <t>GARCIA MIGUEL ANGEL</t>
  </si>
  <si>
    <t>actuar con su grupo musical “MIGUEL GARCIA MUSICA MAS MUSICA” en el evento llevado a</t>
  </si>
  <si>
    <t>CAVO EL DIA 24 DE ENERO DE 2014 EN LA PLAZA SAN MARTIN,,………..………………</t>
  </si>
  <si>
    <t xml:space="preserve">SIMON GORORDO </t>
  </si>
  <si>
    <t xml:space="preserve">RIO CUARTO </t>
  </si>
  <si>
    <t>FERREYRA JOSE DARIO</t>
  </si>
  <si>
    <t>Sonido para el evento llevado a cavo EL DIA 24 DE ENERO EN PLAZA SAN MARTIN --------------</t>
  </si>
  <si>
    <t xml:space="preserve">SAN ROQUE </t>
  </si>
  <si>
    <t>Instalación y configuración de red wifi, configuración de red interna, configuración de impresora.</t>
  </si>
  <si>
    <t>Córdoba</t>
  </si>
  <si>
    <t>DOMINGUEZ JAVIER EDUARDO</t>
  </si>
  <si>
    <t xml:space="preserve">actuar con su grupo musical “CANTORES DE SANTA CECILIA” en el evento llevado a cavo  EL </t>
  </si>
  <si>
    <t xml:space="preserve"> DIA 01 DE FEBRERO DE 2014 EN LA PLAZA SAN MARTIN,,,,,,,,………..………………</t>
  </si>
  <si>
    <t xml:space="preserve">PUBLICA </t>
  </si>
  <si>
    <t xml:space="preserve">LAS TAPIAS </t>
  </si>
  <si>
    <t>DEWAR HUGO</t>
  </si>
  <si>
    <t xml:space="preserve">actuar como solista  en el evento llevado a cavo  EL dia 01 de febrero de 2014 en la Plaza San </t>
  </si>
  <si>
    <t>MARTIN_----------------------------------------------------------------------------------------,,,,,,,,………..………………</t>
  </si>
  <si>
    <t>SPITALE FRANCISCO</t>
  </si>
  <si>
    <t xml:space="preserve">actuar con su grupo musical “SERENATEROS DE SALTA” en el evento llevado a cavo  EL </t>
  </si>
  <si>
    <t xml:space="preserve">OCOMPIS </t>
  </si>
  <si>
    <t>NUEVA ITALIA</t>
  </si>
  <si>
    <t>HUGOLINI OSCAR ALBERTO</t>
  </si>
  <si>
    <t xml:space="preserve">actuar con su grupo musical “COSECHANDO AMIGOS” en el evento llevado a cavo  EL </t>
  </si>
  <si>
    <t xml:space="preserve">SAN MARTIN </t>
  </si>
  <si>
    <t>ESCUDERO REYNALDO</t>
  </si>
  <si>
    <t xml:space="preserve">CASEROS </t>
  </si>
  <si>
    <t xml:space="preserve">actuar con su grupo musical “LA BANDA DE DON CELIZ” en el evento llevado a cavo  EL </t>
  </si>
  <si>
    <t>Molina, Johana Elizabeth</t>
  </si>
  <si>
    <t>el Sr/a.</t>
  </si>
  <si>
    <t>162 horas trabajadas en Balneario Guasmara a $22,38/hora ---------------------------------------------------</t>
  </si>
  <si>
    <t>Pino, Luis Eduardo</t>
  </si>
  <si>
    <t>horas trabajadas en Balneario Guasmara como seremo------- ---------------------------------------------------</t>
  </si>
  <si>
    <t>235  horas trabajadas en Balneario Guasmara a $22,38/hora ---------------------------------------------------</t>
  </si>
  <si>
    <t>226 horas trabajadas en Balneario Guasmara a $22,38/hora ------------------------------------------</t>
  </si>
  <si>
    <t>actuar con su grupo musical “CARLOS MATOS” en el evento llevado a cavo  EL dia 15 de febrero</t>
  </si>
  <si>
    <t>en la PLAZA SAN MARTIN ------------------------------------------------------------------------------------------------------</t>
  </si>
  <si>
    <t>CASTRO CARLOS ENRIQUE</t>
  </si>
  <si>
    <t>actuar con su grupo musical “SABIA NORTEÑA” en el evento llevado a cavo  EL dia 15 de</t>
  </si>
  <si>
    <t xml:space="preserve"> FEBRERO en la PLAZA SAN MARTIN-----------------------------------------------------------------------------</t>
  </si>
  <si>
    <t xml:space="preserve">HUARPES </t>
  </si>
  <si>
    <t>ARGUELLO</t>
  </si>
  <si>
    <t xml:space="preserve">RODRIGUEZ ALEJANDRO OMAR </t>
  </si>
  <si>
    <t>actuar con su grupo musical “LA VUELTA” en el evento llevado a cavo  EL dia 15 de</t>
  </si>
  <si>
    <t>POSADAS</t>
  </si>
  <si>
    <t>RIO TERCERO</t>
  </si>
  <si>
    <t>Calderon, Dalmiro</t>
  </si>
  <si>
    <t>actuar con su grupo musical “TRIO CRUZ DEL SUR” en el evento llevado a cavo  EL dia 22 de</t>
  </si>
  <si>
    <t>SAN LORENZO</t>
  </si>
  <si>
    <t xml:space="preserve">VERAGUA JAVIER </t>
  </si>
  <si>
    <t>actuar con su grupo musical “FABIANA ROJO” en el evento llevado a cavo  EL dia 22 de</t>
  </si>
  <si>
    <t>HORMAECHE</t>
  </si>
  <si>
    <t xml:space="preserve">PEREYRA FABIO </t>
  </si>
  <si>
    <t>actuar con su grupo musical “AZUL MARINO” en el evento llevado a cavo  EL dia 22 de</t>
  </si>
  <si>
    <t xml:space="preserve">SIRIA </t>
  </si>
  <si>
    <t xml:space="preserve">CACACE JOSE ARIEL </t>
  </si>
  <si>
    <t>actuar con su grupo musical “PEPE CACACE” en el evento llevado a cavo  EL dia 22 de</t>
  </si>
  <si>
    <t>Bº 153 VIVIENDAS</t>
  </si>
  <si>
    <t>Sonido para el evento llevado a cavo EL DIA 11 DE MAYO EN SALON DE LOS POZOS ------------</t>
  </si>
  <si>
    <t>ORTIZ, RAUL ERNESTO</t>
  </si>
  <si>
    <t xml:space="preserve">02 DE AGOSTOS DE 2014 MUNICIPALIZACION DE VILLA DE LAS ROSAS </t>
  </si>
  <si>
    <t>actuar con su grupo musical “LA KURA Y AGRUPACION 98” en el evento llevado a cavo  EL</t>
  </si>
  <si>
    <t xml:space="preserve">PASAJE ORTIZ </t>
  </si>
  <si>
    <t xml:space="preserve">OVIEDO, JORGE </t>
  </si>
  <si>
    <t>actuar con su grupo musical “MURMULLOS” en el evento llevado a cavo  EL</t>
  </si>
  <si>
    <t xml:space="preserve">03 DE AGOSTOS DE 2014 MUNICIPALIZACION DE VILLA DE LAS ROSAS </t>
  </si>
  <si>
    <t xml:space="preserve">GILARDO GILARDI </t>
  </si>
  <si>
    <t>GALDAME JOSE FAUSTINO</t>
  </si>
  <si>
    <t xml:space="preserve">Catering en el Evento del dia 03 de agosto de 2014 Municipalizacion de Villa de las Rosas </t>
  </si>
  <si>
    <t xml:space="preserve">Publica </t>
  </si>
  <si>
    <t>actuar con su grupo musical “LOS VISCONTI Y PASTOR LUNA” en el evento llevado a cavo  EL</t>
  </si>
  <si>
    <t>actuar con su grupo musical “DOÑA JOVITA” en el evento llevado a cavo  EL</t>
  </si>
  <si>
    <t>GONZALEZ, JOSE LUIS</t>
  </si>
  <si>
    <t xml:space="preserve">actuar "ANIMACION DE EVENTOS DE MOTOS  POR 4000 PESOS    en el evento llevado </t>
  </si>
  <si>
    <t xml:space="preserve">  a cavo el día 10 DE OCTUBRE 3º ENCUENTRO DE MOTO VILLA DE LAS</t>
  </si>
  <si>
    <t xml:space="preserve">actuar con su grupo musical “THE CHICKEN FACES” POR 5800  PESOS    en el evento llevado </t>
  </si>
  <si>
    <t xml:space="preserve">  a cavo día 11 DE  octubre DE 2014 3º ENCUENTRO DE MOTO VILLA DE LAS</t>
  </si>
  <si>
    <t>BERECIARTUA SEBASTIAN</t>
  </si>
  <si>
    <t xml:space="preserve">actuar con su grupo musical “VITICUS” POR 29650  PESOS    en el evento llevado </t>
  </si>
  <si>
    <t xml:space="preserve">  a cavo día 12 DE  octubre DE 2014 3º ENCUENTRO DE MOTO VILLA DE LAS</t>
  </si>
  <si>
    <t>EUROPA</t>
  </si>
  <si>
    <t xml:space="preserve">ESCOBAR </t>
  </si>
  <si>
    <t>BUENOS AIRES</t>
  </si>
  <si>
    <t>ADRIANO MARE</t>
  </si>
  <si>
    <t xml:space="preserve">actuar con su grupo musical “HOMENAJE” POR 4000 PESOS    en el evento llevado </t>
  </si>
  <si>
    <t xml:space="preserve">PELEGRINI </t>
  </si>
  <si>
    <t xml:space="preserve">HERNANDO </t>
  </si>
  <si>
    <t xml:space="preserve">actuar con su grupo musical “AURICA” POR 2500 PESOS    en el evento llevado </t>
  </si>
  <si>
    <t>ZANNI ANIBAL</t>
  </si>
  <si>
    <t xml:space="preserve">actuar con su grupo musical “GTX” POR 3000 PESOS    en el evento llevado </t>
  </si>
  <si>
    <t xml:space="preserve">LA QUEBRADA </t>
  </si>
  <si>
    <t>LA FALDA</t>
  </si>
  <si>
    <t>ARGUELLO, AYLEN</t>
  </si>
  <si>
    <t>EVENTO MOTOENCUENTRO ATENCION AL PUBLICO POSTA TURISTICA SIETE HORAS</t>
  </si>
  <si>
    <t>BUSTOS, MACARENA</t>
  </si>
  <si>
    <t xml:space="preserve"> HORAS ------------------------------------------------------------------------------------------------------------------------</t>
  </si>
  <si>
    <t xml:space="preserve">EVENTO MOTOENCUENTRO ATENCION AL PUBLICO POSTA TURISTICA DIECISETE </t>
  </si>
  <si>
    <t xml:space="preserve">ANDRADA SEGUNDO SIMON </t>
  </si>
  <si>
    <t>EVENTO MOTOENCUENTRO AREA DE TRANSITO 22 HORAS</t>
  </si>
  <si>
    <t>MONTERO NAHUEL</t>
  </si>
  <si>
    <t xml:space="preserve">actuar con su grupo musical “HALEY” POR 500 PESOS    en el evento llevado </t>
  </si>
  <si>
    <t xml:space="preserve">CARCANO </t>
  </si>
  <si>
    <t>CORDERO CAROLINA</t>
  </si>
  <si>
    <t xml:space="preserve">actuar con su grupo musical “LOBO NEGRO” POR 500 PESOS    en el evento llevado </t>
  </si>
  <si>
    <t>NAVONE COLOMER ALBERTO GUSTAVO</t>
  </si>
  <si>
    <t>llevado  a cavo día 12 DE  octubre DE 2014 3º ENCUENTRO DE MOTO VILLA DE LAS</t>
  </si>
  <si>
    <t xml:space="preserve">actuar con su grupo musical “HUESO DURO DE ROER” POR 1000 PESOS    en el evento </t>
  </si>
  <si>
    <t>PALACIOS ANTONIA OLGA</t>
  </si>
  <si>
    <t xml:space="preserve"> DIA 08 DE NOVIEMBRE DE 2014 EN LA PLAZA NIÑA ROSITA IGNAUGURACION--------------------</t>
  </si>
  <si>
    <t>CORREA CRISTIAN CESAR</t>
  </si>
  <si>
    <t xml:space="preserve"> cavo  EL  DIA 08 DE NOVIEMBRE DE 2014 EN LA PLAZA NIÑA ROSITA IGNAUGURACION------</t>
  </si>
  <si>
    <t>actuar con su grupo musical “MARIACHI JALISCO DE TRASLASIERRA” en el evento llevado a</t>
  </si>
  <si>
    <t>HIRIGOYEN</t>
  </si>
  <si>
    <t>REBORA, ENRIQUE RODOLFO</t>
  </si>
  <si>
    <t>14,427,992</t>
  </si>
  <si>
    <t>, en su carácter de Intendente y el Sr.</t>
  </si>
  <si>
    <t>contrato de obra/servicios sujeto a las siguientes cláusulas y condiciones:</t>
  </si>
  <si>
    <r>
      <rPr>
        <b/>
        <sz val="10"/>
        <rFont val="Segoe UI"/>
        <family val="2"/>
      </rPr>
      <t>SEGUNDA:</t>
    </r>
    <r>
      <rPr>
        <sz val="10"/>
        <rFont val="Segoe UI"/>
        <family val="2"/>
      </rPr>
      <t xml:space="preserve"> La Municipalidad de Villa de Las Rosas abonará al locador, la suma de:</t>
    </r>
    <r>
      <rPr>
        <sz val="14"/>
        <rFont val="Times New Roman"/>
        <family val="1"/>
      </rPr>
      <t xml:space="preserve"> </t>
    </r>
  </si>
  <si>
    <t xml:space="preserve"> cargas sociales, impositivas nacionales y provinciales, etc. todos estos serán asumidos en forma exclusiva por la contratista tanto en lo que respecta a su persona como a los empleados a contratar.</t>
  </si>
  <si>
    <t xml:space="preserve"> exclusiva por la contratista tanto en lo que respecta a su persona como a los empleados a contratar.</t>
  </si>
  <si>
    <t xml:space="preserve">autorizada expresamente. </t>
  </si>
  <si>
    <r>
      <rPr>
        <b/>
        <sz val="10"/>
        <rFont val="Segoe UI"/>
        <family val="2"/>
      </rPr>
      <t>SEXTA:</t>
    </r>
    <r>
      <rPr>
        <sz val="10"/>
        <rFont val="Segoe UI"/>
        <family val="2"/>
      </rPr>
      <t xml:space="preserve"> Para cualquier gestión judicial, extrajudicial derivada del presente, las partes se someten a los tribunales ordinarios de Villa Dolores, haciendo expresa renuncia a cualquier otro que pudiera corresponderles. Previa lectura y ratificación, se firman dos ejemplares de un mismo tenor y a un solo efecto, en lugar y fecha indicados ut-supra. </t>
    </r>
  </si>
  <si>
    <t xml:space="preserve"> tribunales ordinarios de Villa Dolores, haciendo expresa renuncia a cualquier otro que pudiera corresponderles. Previa lectura y ratificación, se firman dos ejemplares de un mismo tenor y a un solo efecto, en lugar y fecha indicados ut-supra. </t>
  </si>
  <si>
    <t xml:space="preserve"> corresponderles. Previa lectura y ratificación, se firman dos ejemplares de un mismo tenor y a un solo efecto, en lugar y fecha indicados ut-supra. </t>
  </si>
  <si>
    <t xml:space="preserve"> solo efecto, en lugar y fecha indicados ut-supra. </t>
  </si>
  <si>
    <r>
      <rPr>
        <b/>
        <sz val="10"/>
        <rFont val="Segoe UI"/>
        <family val="2"/>
      </rPr>
      <t xml:space="preserve">CUARTA: </t>
    </r>
    <r>
      <rPr>
        <sz val="10"/>
        <rFont val="Segoe UI"/>
        <family val="2"/>
      </rPr>
      <t>El plazo del cumplimiento del presente contrato es por el termino de</t>
    </r>
  </si>
  <si>
    <t>de limpieza y mantenimiento en el balneario y camping guasmara (28 horas) a $25 la hora-------------</t>
  </si>
  <si>
    <t xml:space="preserve"> '-----------------------------------------------------------------------------------------------------------------------</t>
  </si>
  <si>
    <t xml:space="preserve"> ------------------------------------------------------------------------------------------------------------------------------</t>
  </si>
  <si>
    <t>a partir del dia de la fecha</t>
  </si>
  <si>
    <t xml:space="preserve">Sanchez Barbara </t>
  </si>
  <si>
    <t>--------------------------------------------------------------------------------------------------------------------</t>
  </si>
  <si>
    <t>limpieza y  mantenimiento del Balneario y Camping Guasmara 56 horas de trabajo a ($25 por</t>
  </si>
  <si>
    <t>hora)------- ---------------------------------------------------------------------------------------------------------</t>
  </si>
  <si>
    <t>Sanchez Norma</t>
  </si>
  <si>
    <t>Salustiano Sanchez</t>
  </si>
  <si>
    <t>Liliana Pereira</t>
  </si>
  <si>
    <t xml:space="preserve">Guasmara Este </t>
  </si>
  <si>
    <t>Arguello Alejandra</t>
  </si>
  <si>
    <t>limpieza y  mantenimiento del Balneario y Camping Guasmara 21 horas de trabajo a ($25 por</t>
  </si>
  <si>
    <t>Sargento Cabral</t>
  </si>
  <si>
    <t>Leopoldo Lugones</t>
  </si>
  <si>
    <t>Dominguez Sergio</t>
  </si>
  <si>
    <t>limpieza y  mantenimiento del Balneario y Camping Guasmara 28 horas de trabajo a ($25 por</t>
  </si>
  <si>
    <t>La Aguadita</t>
  </si>
  <si>
    <t>Villa de las rosas</t>
  </si>
  <si>
    <t>Dominguez German</t>
  </si>
  <si>
    <t>Av. Intiguan</t>
  </si>
  <si>
    <t>----------------------------------------------------------------------------------------------</t>
  </si>
  <si>
    <t xml:space="preserve">Muro de piedra vista 170 ML a ($ 160ML), 6 pilares de piedra vista a ( $400 c/u), en la Plazoleta </t>
  </si>
  <si>
    <t>del barrio San Javier------------------------------------------------------------------------------------------------</t>
  </si>
  <si>
    <t>limpieza y  mantenimiento del Balneario y Camping Guasmara 57 horas de trabajo a ($25 por</t>
  </si>
  <si>
    <t>limpieza y  mantenimiento del Balneario y Camping Guasmara 42 horas de trabajo a ($25 por</t>
  </si>
  <si>
    <t>limpieza y  mantenimiento del Balneario y Camping Guasmara 60 horas de trabajo a ($25 por</t>
  </si>
  <si>
    <t>de limpieza y mantenimiento en el balneario y camping guasmara (58 horas) a $25 la hora-------------</t>
  </si>
  <si>
    <t xml:space="preserve">Vallejo, Pamela Belen </t>
  </si>
  <si>
    <t>de limpieza y mantenimiento en el balneario y camping guasmara (63 horas) a $25 la hora-------------</t>
  </si>
  <si>
    <t>Calomeni, Maria Florencia</t>
  </si>
  <si>
    <t>horas trabajadas en Balneario Guasmara como sereno------- -----------------------------------------------</t>
  </si>
  <si>
    <t>--------------------------------------------------------------------------------------------------------------------------------</t>
  </si>
  <si>
    <t>Bisconti Julio</t>
  </si>
  <si>
    <t xml:space="preserve">Champaqui </t>
  </si>
  <si>
    <t xml:space="preserve">mano  de obra, de 10 carteles para la plaza de Villa de Las Rosas a ($750),  y 1 cartel grande  </t>
  </si>
  <si>
    <t>para el salon comunitario de Las Chacras a ($500)------------------------------------------------------------</t>
  </si>
  <si>
    <t>-------------------------------------------------------------------------------------------------------------------</t>
  </si>
  <si>
    <t>Lopez Domingo</t>
  </si>
  <si>
    <t>Arreglo de 2 motoguadañas STHIL.------------------------------------------------------------------------------</t>
  </si>
  <si>
    <t>--------------------------------------------------------------------------------------------------------------------------</t>
  </si>
  <si>
    <t>Godoy Cruz</t>
  </si>
  <si>
    <t xml:space="preserve"> </t>
  </si>
  <si>
    <t>Publica</t>
  </si>
  <si>
    <t>Tareas de trancito desde el 1 al 31 de diciembre,  se relizaron (84 horas) a ($22 la hora)-------------</t>
  </si>
  <si>
    <t xml:space="preserve">edición página web, edición folleto turístico verano 2015, diseño de publicidad para Código de </t>
  </si>
  <si>
    <t>Bolsillo, trabajos sobre programa de recaudación (2014 y 2015), configuración de equipos</t>
  </si>
  <si>
    <t>dias</t>
  </si>
  <si>
    <t>actuar con su grupo musical “LA VUELTA” en el evento llevado a cavo  EL dia 18 de</t>
  </si>
  <si>
    <t>enero en la PLAZA SAN MARTIN-----------------------------------------------------------------------------</t>
  </si>
  <si>
    <t xml:space="preserve">Colocación de  49m2  de tejuela a ($160m2),  colocación de una puerta en el sotano, una puerta </t>
  </si>
  <si>
    <t>reja , y dos rejas a ($1500) en el quincho del salon comunitario de "Las Chacras"----------------------</t>
  </si>
  <si>
    <t xml:space="preserve">Intiguan </t>
  </si>
  <si>
    <t>Las Chacras</t>
  </si>
  <si>
    <t>Vallejo Arturo Alberto</t>
  </si>
  <si>
    <t xml:space="preserve">Bazán Renzo Nahuel </t>
  </si>
  <si>
    <t xml:space="preserve">Limpieza de filtro y canales de planta de agua corriente de "Las Chacras" y "Los Pozos", se </t>
  </si>
  <si>
    <t>trabajaron  56 horas a ($30 la Hs)--------------------------------------------------------------------------------</t>
  </si>
  <si>
    <t>Avaca Uben Eduardo</t>
  </si>
  <si>
    <t>Ribas Eduardo Emir</t>
  </si>
  <si>
    <t>Por descargue de un equipo de cemento,hercal, y ladrillo ceramica en el previo Municipal</t>
  </si>
  <si>
    <t>-------------------------------------------------------------------------------------------------------------------------</t>
  </si>
  <si>
    <t>Guasmara</t>
  </si>
  <si>
    <t xml:space="preserve">actuar con su grupo musical “SALMANCA” POR 3000 PESOS    en el evento llevado </t>
  </si>
  <si>
    <t xml:space="preserve">  a cavo en el evento llevado a cavo el día 17 DE  ENERO DE 2015 EN -----------------------------------</t>
  </si>
  <si>
    <t>PLAZA DE VILLA DE LAS ROSAS--------------------------------------------------------------------------</t>
  </si>
  <si>
    <t>ZABALA, JOSE</t>
  </si>
  <si>
    <t xml:space="preserve">actuar con su grupo musical “SABIA NORTEÑA Y LOS QUILLA HASI” POR 11000 PESOS    en el </t>
  </si>
  <si>
    <t xml:space="preserve">  evento llevado a cavo en el evento llevado a cavo el día 17 DE  ENERO DE 2015 EN ------------------</t>
  </si>
  <si>
    <t>CONCARAN</t>
  </si>
  <si>
    <t xml:space="preserve">actuar con su grupo musical “LOS SERENATEROS DE SALTA” POR 5500 PESOS    en el </t>
  </si>
  <si>
    <t>BEQUIS, ANGEL REMIGIO</t>
  </si>
  <si>
    <t xml:space="preserve">actuar con su grupo musical “ANGEL EL SANTIAGUEÑO” POR 2500 PESOS    en el </t>
  </si>
  <si>
    <t>LIGORRIA, ANTONIO ANGEL</t>
  </si>
  <si>
    <t xml:space="preserve">actuar con su grupo musical “GAUCHO CUARTETERO” POR 10650 PESOS    en el </t>
  </si>
  <si>
    <t>emite por Canal doce y por Sembrando Satelital ----------------------------------------------------------------</t>
  </si>
  <si>
    <t xml:space="preserve"> ------------------------------------------------------------------------------------------------------------------------</t>
  </si>
  <si>
    <t xml:space="preserve">Limpieza y mantenimiento del Balneario y Camping Guasmara 21horas de trabajo a ($25 por </t>
  </si>
  <si>
    <t xml:space="preserve">Celiz Antonella Daiana </t>
  </si>
  <si>
    <t>Bañera del Balneario y Camping Guasmara--------------------------------------------------------------------</t>
  </si>
  <si>
    <t xml:space="preserve">Guasmara </t>
  </si>
  <si>
    <t xml:space="preserve"> '-----------------------------------------------------------------------------------------------------------------</t>
  </si>
  <si>
    <t>Horas trabajadas en Balneario Guasmara como sereno------- ----------------------------------------------</t>
  </si>
  <si>
    <t xml:space="preserve"> '------------------------------------------------------------------------------------------------------------------</t>
  </si>
  <si>
    <t>Di Bella Guido</t>
  </si>
  <si>
    <t>Doña Fina</t>
  </si>
  <si>
    <t>Profesor de La Escuela de Verano------------------------------------------------------------------------------</t>
  </si>
  <si>
    <t>Aldeco Maria Soledad</t>
  </si>
  <si>
    <t>El Alto</t>
  </si>
  <si>
    <t>Miguez Mariana Ailen</t>
  </si>
  <si>
    <t>Romero Iñaki</t>
  </si>
  <si>
    <t>Los Platanos</t>
  </si>
  <si>
    <t>Oviedo Victor Saul</t>
  </si>
  <si>
    <t>En la posta Turistica ----------------------------------------------------------------------------------------------</t>
  </si>
  <si>
    <t>----------------------------------------------------------------------------------------------------------------</t>
  </si>
  <si>
    <t>Ricardo Roja Oeste</t>
  </si>
  <si>
    <t>------------------------------------------------------------------------------------------------------------------------</t>
  </si>
  <si>
    <t xml:space="preserve">Bustos, Juan Miguel </t>
  </si>
  <si>
    <t xml:space="preserve">actuar con su grupo musical “GRUPO ORIGENES” POR 3000 PESOS    en el </t>
  </si>
  <si>
    <t xml:space="preserve">  evento llevado a cavo en el evento llevado a cavo el día 31 DE  ENERO DE 2015 EN ------------------</t>
  </si>
  <si>
    <t>SAN PEDRO</t>
  </si>
  <si>
    <t xml:space="preserve">AGÜERO SERGIO DARIO </t>
  </si>
  <si>
    <t xml:space="preserve">actuar con su grupo musical “LAS VOCES DE AMERICA” POR 3500 PESOS    en el </t>
  </si>
  <si>
    <t xml:space="preserve">actuar con su grupo musical “CARLOS MATOS” POR 900 PESOS    en el </t>
  </si>
  <si>
    <t xml:space="preserve">actuar con su grupo musical “"LOS AUTENTICOS DE CORDOBA" POR 10000 PESOS    en el </t>
  </si>
  <si>
    <t>GUASMARA</t>
  </si>
  <si>
    <t>CORDOBA CARLOS ENRIQUE</t>
  </si>
  <si>
    <t xml:space="preserve">actuar con su grupo musical “CHACHO PERALTA" POR 4500 PESOS    en el </t>
  </si>
  <si>
    <t xml:space="preserve">GENERAL SANDINO </t>
  </si>
  <si>
    <t xml:space="preserve">actuar con su grupo musical “DOBLE CUARTETO" POR 8000PESOS    en el </t>
  </si>
  <si>
    <t>Limpieza y  mantenimiento del Balneario y Camping Guasmara 217 horas de trabajo a ($25 por</t>
  </si>
  <si>
    <t xml:space="preserve"> Limpieza y mantenimiento en el balneario y camping guasmara  252 horas a $25 la hora---------</t>
  </si>
  <si>
    <t>Llimpieza y  mantenimiento del Balneario y Camping Guasmara 245 horas de trabajo a ($25 por</t>
  </si>
  <si>
    <t>Limpieza de baños de la terminal,limpieza de la guarderia y limpieza del registo civil.------------------</t>
  </si>
  <si>
    <t>------------------------------------------------------------------------------------------------------------------</t>
  </si>
  <si>
    <t>Limpieza y  mantenimiento del Balneario y Camping Guasmara 245 horas de trabajo a ($25 por</t>
  </si>
  <si>
    <t>Limpieza y  mantenimiento del Balneario y Camping Guasmara 242horas de trabajo a ($25 por</t>
  </si>
  <si>
    <t>Limpieza y  mantenimiento del Balneario y Camping Guasmara 160 horas de trabajo a ($25 por</t>
  </si>
  <si>
    <t>Vallejo Pamela</t>
  </si>
  <si>
    <t>Limpieza y  mantenimiento del Balneario y Camping Guasmara 238 horas de trabajo a ($25 por</t>
  </si>
  <si>
    <t>Entre Rio</t>
  </si>
  <si>
    <t>Victoria Eliana</t>
  </si>
  <si>
    <t>Transito, realizo 105 Horas a ($22 la Hora)--------------------------------------------------------------------</t>
  </si>
  <si>
    <t>Transito, realizo 176 Horas a ($22 la Hora)--------------------------------------------------------------------</t>
  </si>
  <si>
    <t>Carranza Jorge Daniel</t>
  </si>
  <si>
    <t>Transito,realizo 57 Horas a ($22 la Hora)-----------------------------------------------------------------------</t>
  </si>
  <si>
    <t>----------------------------------------------------------------------------------------------------------------------</t>
  </si>
  <si>
    <t>Funes Julio</t>
  </si>
  <si>
    <t>Realizacion de 2 puentes en los Senderos "Los Zorzales"---------------------------------------------------</t>
  </si>
  <si>
    <t>-----------------------------------------------------------------------------------------------------------------------</t>
  </si>
  <si>
    <t>El Pueblito</t>
  </si>
  <si>
    <t xml:space="preserve">Bustos Macarena </t>
  </si>
  <si>
    <t>Del Milagro</t>
  </si>
  <si>
    <t>Olmedo Maria Emilia</t>
  </si>
  <si>
    <t>Cort. Diego Javier</t>
  </si>
  <si>
    <t>Mario Ataide</t>
  </si>
  <si>
    <t>San Nicolas</t>
  </si>
  <si>
    <t>Instalacion de 12 luminarias en pirca a $200 c/u, colocacion de 1 cable subterraneo con cruce de</t>
  </si>
  <si>
    <t xml:space="preserve"> calle a $300, armado de tablero a $200------------------------------------------------------------------------     -------------------------------------------------------------------------------------------------</t>
  </si>
  <si>
    <t>Rodolfo Cesar Bustos</t>
  </si>
  <si>
    <t>Realización de 500Mtrs. de cordon cuneta a $100 Mtr.Linial en la calle "Córdoba"---------------------</t>
  </si>
  <si>
    <t>Olmedo Raul Arturo</t>
  </si>
  <si>
    <t>Provicion de 12 rodajas de madera (algarrobo) para carteleria de la Plaza de Villa de Las Rosas</t>
  </si>
  <si>
    <t>Desmalezado y corte de pasto parador "Atardecer del Valle"-----------------------------------------------</t>
  </si>
  <si>
    <t>Arreglo de 2 motoguadañas STHIL, y 1 motocierra  STHIL--------------------------------------------------</t>
  </si>
  <si>
    <t>sn</t>
  </si>
  <si>
    <t xml:space="preserve">mano  de obra, y material de 2 pasacalles (Dirección de Deportes) $ 650, 7 tablas con nombre de </t>
  </si>
  <si>
    <t>calles $490 (Obras Publicas), pintura de 2 tablas con el nombre de la Plazoleta(Ob. Privada) $500</t>
  </si>
  <si>
    <t xml:space="preserve">  evento llevado a cavo en el evento llevado a cavo el día 14 DE FEBRERO DE 2015 EN ------------------</t>
  </si>
  <si>
    <t xml:space="preserve">actuar con su grupo musical “LOS 4 DE SALTA" POR 13000 PESOS    en el </t>
  </si>
  <si>
    <t>IGNAUGURACION CALLE OSCURA--------------------------------------------------</t>
  </si>
  <si>
    <t xml:space="preserve">OCHOA CARLOS </t>
  </si>
  <si>
    <t xml:space="preserve">actuar con su grupo musical "CARLOS OCHOA"  POR 1000 PESOS    en el </t>
  </si>
  <si>
    <t xml:space="preserve">Ponce De Leon Rodolfo </t>
  </si>
  <si>
    <t>de portalamparas en el parador de la Calle "Oscura"----------------------------------------------------------</t>
  </si>
  <si>
    <t xml:space="preserve">Colocación de  2 luminarias coloniales en la Plazoleta "Los Pajaros", y colocación de guirnalda    </t>
  </si>
  <si>
    <t>Realización de 2 puentes en el sendero "Los Zorzales"------------------------------------------------------</t>
  </si>
  <si>
    <t>GIMENEZ JOSE ANIBAL</t>
  </si>
  <si>
    <t xml:space="preserve">actuar con su grupo musical "COSECHANDO AMIGOS"  POR 1500 PESOS    en el </t>
  </si>
  <si>
    <t>RUTA 14</t>
  </si>
  <si>
    <t>Romero Leonardo</t>
  </si>
  <si>
    <t>Trabajo  de maquinaria  retoescabadora de 4 Hs a ($750) la hora, en los desagues del camino</t>
  </si>
  <si>
    <t>"Intihuan" de "LasChacras"----------------------------------------------------------------------------------------</t>
  </si>
  <si>
    <t>-----------------------------------------------------------------------------------------------------------------</t>
  </si>
  <si>
    <t>Leon Lucia Gabriela</t>
  </si>
  <si>
    <t>Alojamiento en el Hospedaje "Familia Leon", por 3 noches.-------------------------------------------------</t>
  </si>
  <si>
    <t>actuar con su grupo musical “EL CHINO MENO” POR 3000 PESOS  Y "FABIANA ROJO" por 3500</t>
  </si>
  <si>
    <t xml:space="preserve">  en el evento llevado a cavo en el evento llevado a cavo el día 22 de febrero DE 2015 EN --------------</t>
  </si>
  <si>
    <t>PLAZOLETA DE LOS PAJAROS--------------------------------------------------------------------------</t>
  </si>
  <si>
    <t xml:space="preserve">MONJE JUAN VICENTE </t>
  </si>
  <si>
    <t>actuar con su grupo musical “CAROZO MONJE” POR 8000 PESOS  ------------------------------------</t>
  </si>
  <si>
    <t xml:space="preserve">PJE FLOR DEL AIRE </t>
  </si>
  <si>
    <t>SUMAMPA</t>
  </si>
  <si>
    <t>SANTIAGO DEL ESTERO</t>
  </si>
  <si>
    <t>actuar con su grupo musical “ALAMOS Y LOS DULCE” POR 10600 PESOS  ----------------------------</t>
  </si>
  <si>
    <t>PONCE LUIS ANTONIO</t>
  </si>
  <si>
    <t>actuar con su grupo musical “SABIA NORTEÑZ” POR 3500 PESOS  ----------------------------</t>
  </si>
  <si>
    <t xml:space="preserve">FALUCHO </t>
  </si>
  <si>
    <t>LIGORRIA, UBALDO RAUL</t>
  </si>
  <si>
    <t>actuar con su grupo musical “LA TECLA” POR 2500 PESOS  ----------------------------</t>
  </si>
  <si>
    <t>Atencion posta turistica--------------------------------------------------------------------------------------------</t>
  </si>
  <si>
    <t>Limpieza y  mantenimiento del Balneario y Camping Guasmara 210 horas de trabajo a ($25 por</t>
  </si>
  <si>
    <t>Limpieza y  mantenimiento del Balneario y Camping Guasmara 167 horas de trabajo a ($25 por</t>
  </si>
  <si>
    <t>Llimpieza y  mantenimiento del Balneario y Camping Guasmara 77 horas de trabajo a ($25 por</t>
  </si>
  <si>
    <t>Limpieza y  mantenimiento del Balneario y Camping Guasmara 171 horas de trabajo a ($25 por</t>
  </si>
  <si>
    <t>Molina, Brenda belen</t>
  </si>
  <si>
    <t>Limpieza y  mantenimiento del Balneario y Camping Guasmara 91 horas de trabajo a ($25 por</t>
  </si>
  <si>
    <t>Salgado Diego</t>
  </si>
  <si>
    <t>Reparación del embrague de la F100 motor MWM----------------------------------------------------------</t>
  </si>
  <si>
    <t>Olmedo Victor Andres</t>
  </si>
  <si>
    <t>Arreglo de 2 filtros completos y limpieza de canal y cisterna en la Planta de Agua Corriente en-----</t>
  </si>
  <si>
    <t>Los Pozos</t>
  </si>
  <si>
    <t xml:space="preserve">Fatima </t>
  </si>
  <si>
    <t>Montenegro Noelia</t>
  </si>
  <si>
    <t>Alojamiento para 14 artistas eventos de verano---------------------------------------------------------------</t>
  </si>
  <si>
    <t>Calle Oscura</t>
  </si>
  <si>
    <t>Piussi Rafael Jose</t>
  </si>
  <si>
    <t>La Municipalidad encomienda al Sr.Piussi  la tarea de mantenimiento y cuidado de la Plazoleta-----</t>
  </si>
  <si>
    <t>La supervision estara a cargo del municipio--------------------------------------------------------------</t>
  </si>
  <si>
    <t>Julio Assis. Cta 598 Tasa Serv. A la Propiedad Año 2015($1171.62) y Tasa Agua Corriente 538Año 2015 ($918)----------------------------------------------------------------------------------------------------------</t>
  </si>
  <si>
    <t>Luis Tesandori</t>
  </si>
  <si>
    <t>Rojas, Rosa Nancy</t>
  </si>
  <si>
    <t>Desfile de moda academia "CLASS - ESCUELA DE MODELO" POR $3500  ----------------------------</t>
  </si>
  <si>
    <t xml:space="preserve">  en el evento llevado a cavo en el evento llevado a cavo el día 28 de febrero DE 2015 EN --------------</t>
  </si>
  <si>
    <t xml:space="preserve"> POLIDEPORTIVO MUNICIPAL--------------------------------------------------------------------------</t>
  </si>
  <si>
    <t xml:space="preserve">actuar con su grupo musical “LOS FESTIVALEROS” POR 1800 PESOS    en el </t>
  </si>
  <si>
    <t>Pizarro, Pedro Ambrosio</t>
  </si>
  <si>
    <t xml:space="preserve">actuar con su grupo musical “LAS VOCES DEL IMPERIO” POR 5000 PESOS    en el </t>
  </si>
  <si>
    <t xml:space="preserve">LAS HERAS </t>
  </si>
  <si>
    <t>actuar con su grupo musical “ANDREA RODRIGUEZ” POR 1500 PESOS  ----------------------------</t>
  </si>
  <si>
    <t xml:space="preserve">2000 PESOS el evento llevado a cavo en el evento llevado a cavo el día 28 de febrero DE 2015 EN </t>
  </si>
  <si>
    <t>LEYES JUAN RAMON</t>
  </si>
  <si>
    <t xml:space="preserve">YAPEYU </t>
  </si>
  <si>
    <t>actuar con su grupo musical “AGUPACION 98” POR $14000 ------------------------------------------------</t>
  </si>
  <si>
    <t>Tareas de Transito desde 01 al 28 de Febrero-----------------------------------------------------------------</t>
  </si>
  <si>
    <t>------------------------------------------------------------------------------------------------</t>
  </si>
  <si>
    <t>Manuel Andrada</t>
  </si>
  <si>
    <t>Entre Rios</t>
  </si>
  <si>
    <t>SANCHEZ RUBEN HORACIO</t>
  </si>
  <si>
    <t>Reparacion y pintura de las 2 maquinas hormigoneras moviles---------------------------------------------</t>
  </si>
  <si>
    <t xml:space="preserve">Calle Publica </t>
  </si>
  <si>
    <t>GOMEZ ARTURO GUIDO</t>
  </si>
  <si>
    <t>4 lavados de Ambulancia, 1 Lavado Amarok, 1 Lavado Fiat Fiorino----------------------------------------</t>
  </si>
  <si>
    <t>Los Aromos</t>
  </si>
  <si>
    <t>BUSTOS CRISTIAN G</t>
  </si>
  <si>
    <t xml:space="preserve">FUNES CLAUDIO MATIAS </t>
  </si>
  <si>
    <t>LOPEZ Mauro</t>
  </si>
  <si>
    <t>110 horas por  Arreglo de las calles con motoniveladora a $65 la hora-----------------------------------</t>
  </si>
  <si>
    <t>9 de Julio</t>
  </si>
  <si>
    <t xml:space="preserve"> 70 hs de trabajo a $30 la hora de Limpieza y armado de los filtros de la red de agua corriente en </t>
  </si>
  <si>
    <t>Las Chacras---------------------------------------------------------------------------------------------------------</t>
  </si>
  <si>
    <t xml:space="preserve">70 horas de trabajo a $30 la hora de Limpieza y armado de los filtros de la red de agua corriente  </t>
  </si>
  <si>
    <t>en Las Chacras------------------------------------------------------------------------------------------------------</t>
  </si>
  <si>
    <t>70 horas de trabajo a $30 la hora deLimpieza y armado de los filtros de la red de agua corriente---</t>
  </si>
  <si>
    <t>ROMERO MELIAN JESUS</t>
  </si>
  <si>
    <t>actuar con su grupo musical “ROMERO MELIA” POR 250PESOS    en el evento</t>
  </si>
  <si>
    <t xml:space="preserve"> llevado a cavo en el evento llevado a cavo el día 07 de MARZO DE 2015 EN --------------</t>
  </si>
  <si>
    <t>AV. ESPAÑA</t>
  </si>
  <si>
    <t>ANDRADA VICTOR HUGO</t>
  </si>
  <si>
    <t>actuar con su grupo musical “TORO QUEVEDO” POR 45000 PESOS    en el evento</t>
  </si>
  <si>
    <t>JOSE LUIS DORREGO</t>
  </si>
  <si>
    <t>Limpieza Baños y Polideportivo evento Dia de la Mujer------------------------------------------------------</t>
  </si>
  <si>
    <t>500 mts lineales de cordon cuneta a $120 el mt.lineal en la calle Guasmara Este esq. Sarmiento</t>
  </si>
  <si>
    <t>Reparación del diferencial camión F 7000---------------------------------------------------------------------</t>
  </si>
  <si>
    <t>ATAIDE MARIO</t>
  </si>
  <si>
    <t>-------------------------------------------------------------------------------------------------------------</t>
  </si>
  <si>
    <t xml:space="preserve">Instalación electrica de 16 luminarias a $200 c/u, 6 farolas a $400 c/U, y conección del pilar </t>
  </si>
  <si>
    <t>y tablero $1000 en Plazoleta Barrio San Javier----------------------------------------------------------------</t>
  </si>
  <si>
    <t>Limpieza y configuración de equipos de Secretaría, Radio Comunal y Acción Social -----------------</t>
  </si>
  <si>
    <t>Los Nogales</t>
  </si>
  <si>
    <t>Quebrada de Los Pozos</t>
  </si>
  <si>
    <t>Contrato Nº</t>
  </si>
  <si>
    <t>fecha</t>
  </si>
  <si>
    <t>BUSTOS GABRIEL CRISTIAN</t>
  </si>
  <si>
    <t xml:space="preserve"> 70 horas a $ 30 c/u de Arreglo de filtros para el Agua Corriente en Las Chacras----------------------</t>
  </si>
  <si>
    <t>Arreglo de filtros para el Agua Corriente en Las Chacras 70 horas a $30 c/u---------------------------</t>
  </si>
  <si>
    <t>70 horas a $30 c/u de Arreglo de filtros para el Agua Corriente en Las Chacras------------------------</t>
  </si>
  <si>
    <t>Arreglo de calles  en Las Chacras  y Los Molles Total:90 horas a $ 65 c/u ------------------------------</t>
  </si>
  <si>
    <t>Trabajo de pintura completa en el C.C.I. (Guardería)--------------------------------------------------------</t>
  </si>
  <si>
    <t>LUJAN JOSE MANUEL</t>
  </si>
  <si>
    <t>Limpieza de banquinas de  la calle LAS MAGNOLIAS Los Pozos ( aproximadamente 800 mts)-------</t>
  </si>
  <si>
    <t>SANDANDEZ MARIO MIGUEL</t>
  </si>
  <si>
    <t>Avda España</t>
  </si>
  <si>
    <t>Arreglo de inyectores de camión Ford 7000 incluye material y mano de obra---------------------------</t>
  </si>
  <si>
    <t>MALDONADO RUBEN</t>
  </si>
  <si>
    <t xml:space="preserve">Limpieza de banquinas de ambos lados de la calle oscura desde el Arroyo hasta la plazoleta </t>
  </si>
  <si>
    <t>Malvinas Argentinas------------------------------------------------------------------------------------------------</t>
  </si>
  <si>
    <t>colocación de los inyectores y puesto a punto del camión Ford 7000-------------------------------------</t>
  </si>
  <si>
    <t>26 horas de trabajo como informante de turismo-------------------------------------------------------------</t>
  </si>
  <si>
    <t>60 horas del mes de marzo en tareas de transito-------------------------------------------------------------</t>
  </si>
  <si>
    <t>Villla de Las Rosas</t>
  </si>
  <si>
    <t>Cortar 25 durmientes de quebracho Colorado,cepillado y armado de 14 cruces de la misma --------</t>
  </si>
  <si>
    <t>madera para ser colocados en el Via Crucis-------------------------</t>
  </si>
  <si>
    <t>Olmedo Ruben Arturo</t>
  </si>
  <si>
    <t>LOPEZ Domingo</t>
  </si>
  <si>
    <t>Arreglo 1 Motoguadaña y 1 motosierra Still--------------------------------------------------------------------</t>
  </si>
  <si>
    <t>estaciones. Pinturas de la base del Cristo y la base de la cruz----------------------------------------------</t>
  </si>
  <si>
    <t>Reparación,lijado y pintado del Cristo,limpieza y pintura de la cruz, reparación y pintado de las 10-</t>
  </si>
  <si>
    <t>5 carteles de algarrobo para el Cristo del Guasmara---------------------------------------------------------</t>
  </si>
  <si>
    <t>Pintado y mano de obra 1 cartel grande tallado para la Plaza San Martín--------------------------------</t>
  </si>
  <si>
    <t xml:space="preserve">BUSTOS Macarena </t>
  </si>
  <si>
    <t>GODOY LUIS SEBASTIAN</t>
  </si>
  <si>
    <t>Armado de techo de madera con chapa en la casa de Belen Romero (Ayuda Social)-----------------</t>
  </si>
  <si>
    <t>Callejon Los Roveres</t>
  </si>
  <si>
    <t>BALMACEDA  Abel Alfonso</t>
  </si>
  <si>
    <t>hizo 20 llaves para distintas dependencias: (1)Obras Públicas,(2)Radio, (2)Espacio Verdes,(2)-----</t>
  </si>
  <si>
    <t>Belgrano</t>
  </si>
  <si>
    <t>Taxis,(6) Turismo,(2) Guasmara,(2)Polideportivo,(1)Cultura,(2) Escuela Los Pozos,Abrir puerta en -</t>
  </si>
  <si>
    <t>la Terminal y en la Escuela de Los Pozos-----------------------------------------------------------------</t>
  </si>
  <si>
    <t xml:space="preserve">actuar con su grupo musical “LOS CANTORES DEL ALBA” en el evento llevado a cavo el día 17 DE </t>
  </si>
  <si>
    <t xml:space="preserve">MAYO EN LA IGNAUGURACION DE LA PLAZOLETA DE LOS NIÑOS ------------------------------------ </t>
  </si>
  <si>
    <t>GARCIA MANUEL ALBERTO</t>
  </si>
  <si>
    <t>Configuración de equipo de Licencias, limpieza de impresora, configuración base de datos. --------</t>
  </si>
  <si>
    <t xml:space="preserve">actuar con su grupo musical “LOS FESTIVALEROS” POR 1800 PESOS    en el evento llevado a </t>
  </si>
  <si>
    <t>cavo el dia 17 de MAYO EN LA IGNAUGURACION DE LA PLAZOLETA DE LOS NIÑOS -------------</t>
  </si>
  <si>
    <t>Montenegro Juan Oscar</t>
  </si>
  <si>
    <t>Maderas para carteleria plazoleta "De los Niños"-------------------------------------------------------------</t>
  </si>
  <si>
    <t>Lescano Lindor Omar</t>
  </si>
  <si>
    <t>Juan de Videla</t>
  </si>
  <si>
    <t>Para la produccion de 2400 plantines a $5 c/u para ser utilizados en plazas y espacios verdes-----</t>
  </si>
  <si>
    <t>2 carteles de algarrobo para la plazoleta "De los Niños"-----------------------------------------------------</t>
  </si>
  <si>
    <t>2 tablas de algarrobo para carteleria plazoleta "Las Caleras"------------------------------------------------</t>
  </si>
  <si>
    <t>COSENTINO leandro</t>
  </si>
  <si>
    <t>Actuación de la Fiesta Infantil Plazoleta Las Caleras---------------------------------------------------------</t>
  </si>
  <si>
    <t xml:space="preserve">Limpieza de banquina de ambos lados de la calle de Los Molles desde la Plazoleta hasta la Escuela </t>
  </si>
  <si>
    <t>Escuela de Rodeo de Piedra-------------------------------------------------------------</t>
  </si>
  <si>
    <t>Descarga de 3 camiones con block  $ 1300 c/u--------------------------------------------------------------</t>
  </si>
  <si>
    <t>2 carteles de algarrobo para la plazoleta de Las Caleras"---------------------------------------------------</t>
  </si>
  <si>
    <t>una función de mimo en plazoleta de Las Caleras------------------------------------------------------------</t>
  </si>
  <si>
    <t>Control de transito en el mes de mayo 74 horas a $25 la hora---------------------------------------------</t>
  </si>
  <si>
    <t>Maderas para carteleria plazoleta de Barrio San Miguel"----------------------------------------------------</t>
  </si>
  <si>
    <t>Control de transito en el mes de mayo 49 horas a $25 la hora---------------------------------------------</t>
  </si>
  <si>
    <t>BRINGAS ALDO ROBERTO</t>
  </si>
  <si>
    <t xml:space="preserve">la elaboración de 3400 ladrillos comúnes a $ 1300 el mil  que serán destinados a Obras ------------ </t>
  </si>
  <si>
    <t xml:space="preserve"> Publicas Diveras'--------------------------------------------------------------------------</t>
  </si>
  <si>
    <t>Arreglo de calles con motoniveladora en el camino de Las Chacras  y Los Molles Total:49 horas a $ 65 c/u ------------------------------</t>
  </si>
  <si>
    <t>$ 65 c/u---------------------------------------------------------------------------------------------------------------</t>
  </si>
  <si>
    <t>Arregui, Franco Jose</t>
  </si>
  <si>
    <t>de junio de 2015 Plazoleta Mi Parque Soñado --------------------------------------------------------------------</t>
  </si>
  <si>
    <t xml:space="preserve">publica </t>
  </si>
  <si>
    <t>San Javier</t>
  </si>
  <si>
    <t>Actuacion con su grupo musical "ESTILO SERRANO" en el evento llevado a cavo el dia 07</t>
  </si>
  <si>
    <t>Seara Marcelo Agustin</t>
  </si>
  <si>
    <t>Actuacion en plazoleta "Mi Parque Soñado" el dia 07 de junio del 2015----------------------------------</t>
  </si>
  <si>
    <t>2 carteles en la plazoleta "Mi parque soñado" y 10 carteles chicos para senderos--------------</t>
  </si>
  <si>
    <t>Actuacion con su grupo musical "COSECHANDO AMIGOS" en el evento llevado a cavo el dia 07</t>
  </si>
  <si>
    <t>LAS CHACRAS</t>
  </si>
  <si>
    <t>Cartel Obras Públicas "ACUEDUCTO DIQUE LA  VIÑA-Los POZOS--------------------------------------</t>
  </si>
  <si>
    <t>Cruz Roberto Florencio</t>
  </si>
  <si>
    <t>Pintura de 1 mural en la Plazoleta "Mi parque Soñado" en Barrio San Miguel----------------------------</t>
  </si>
  <si>
    <t>El quemado</t>
  </si>
  <si>
    <t>CABIDO LUIS ALEJANDRO</t>
  </si>
  <si>
    <t>Calle Publica</t>
  </si>
  <si>
    <t>LAS TAPIAS</t>
  </si>
  <si>
    <t>2 carteles Grandes Obras Publicas Asfalto Las Rosas-Los Molles-Las Chacras-------------------------</t>
  </si>
  <si>
    <t>GIL LEANDRO MARTIN</t>
  </si>
  <si>
    <t>construccion de 3 picos y 1 hacha a $380 c/U---------------------------------------------------------------</t>
  </si>
  <si>
    <t>Libertad</t>
  </si>
  <si>
    <t>San Pedro</t>
  </si>
  <si>
    <t>$65 la hora-----------------------------------------------------------------------------------------------------------</t>
  </si>
  <si>
    <t xml:space="preserve">arreglo de calles con motoniveladora en el camino de Las Chacras  y Los Molles Total:28 horas a </t>
  </si>
  <si>
    <t>Dominguez Juan Alejandro</t>
  </si>
  <si>
    <t>Construccion de un guardaganado y 3 pilares en la calle publica de Rodeo de Piedra----------------</t>
  </si>
  <si>
    <t>Rodeo de Piedra</t>
  </si>
  <si>
    <t>Kauer, Sebastian</t>
  </si>
  <si>
    <t>instalación de red cableada en gobierno, hacienda y mesa de entrada. ----------------------------------</t>
  </si>
  <si>
    <t>Del Nogal</t>
  </si>
  <si>
    <t>Sistema y limpieza PC turismo, configuración wifi pensiones, secretaría y obras privadas,</t>
  </si>
  <si>
    <t>Sanchez Rúben Horacio</t>
  </si>
  <si>
    <t xml:space="preserve">Reparación de perdida de hidraulico ,desarme y armado de radiadores de agua y aceite del-------- </t>
  </si>
  <si>
    <t>trompo hormigonero-------------------------------------------------------------------------------------------------</t>
  </si>
  <si>
    <t>Construcción de 1 vado de hormigón de 4 mts de largo por 3 de ancho en la calle La Represa------</t>
  </si>
  <si>
    <t>de Las Chacras------------------------------------------------------------------------------------------------------</t>
  </si>
  <si>
    <t>MALDONADO Julio Oscar</t>
  </si>
  <si>
    <t xml:space="preserve">Buen Retiro  </t>
  </si>
  <si>
    <t>desmonte en zona perimetral parador Atardecer en el Valle (lado norte y sur)juntado de -------------</t>
  </si>
  <si>
    <t>ramas-----------------------------------------------------------------------------------------------------------------</t>
  </si>
  <si>
    <t>Intihuan</t>
  </si>
  <si>
    <t>MALDONADO, Hector Daniel</t>
  </si>
  <si>
    <t xml:space="preserve">Colocación de calefactor, prueba hidrahulica de la cañería existente y conversión de gas----------- </t>
  </si>
  <si>
    <t>natural a gas envasado en la oficina de intendencia-----------------------------------------------------------</t>
  </si>
  <si>
    <t>Reparación del turbo y cambio de aceite y filtro del camión Ford Cargo---------------------------------</t>
  </si>
  <si>
    <t>Mercado José Gabriel</t>
  </si>
  <si>
    <t>la colocación de 27mt2 a $70 el mt2 de ceramico en el quirofano canino--------------------------------</t>
  </si>
  <si>
    <t>25 de Mayo</t>
  </si>
  <si>
    <t>Balmaceda, Abel Alfonso</t>
  </si>
  <si>
    <t>8 reparaciones de cerraduras, 12 laves nuevas, 1 Abrir puerta ; en Oficina Intendente, Privada,----</t>
  </si>
  <si>
    <t>Dispensario Blas capdevilla, Acción Social, Balneario Guasmara,Dispensario Los Pozos--------------</t>
  </si>
  <si>
    <t>Funes , Julio</t>
  </si>
  <si>
    <t>cavado y llenado de cimiento para base de puente, armado y pintado de puente de 10mts con-----</t>
  </si>
  <si>
    <t>baranda, en Parador Atardecer en El Valle---------------------------------------------------------------------</t>
  </si>
  <si>
    <t>Construcción de 2 canteros de piedra en Parador Atardecer en El Valle---------------------------------</t>
  </si>
  <si>
    <t>Oliva Osvaldo Argentino</t>
  </si>
  <si>
    <t xml:space="preserve">Leopoldo Lugones </t>
  </si>
  <si>
    <t>Pintura del mobiliario municipal ---------------------------------------------------------------------------------</t>
  </si>
  <si>
    <t>3 carteles de 1,50 x 1mt. "Encuentro de Motos" a $200 c/u-------------------------------------------------</t>
  </si>
  <si>
    <t>Bustos Carlos Alberto</t>
  </si>
  <si>
    <t>Instalación electrica y colocación de artefactos en los baños de la Escuela Esteban Echeverria----</t>
  </si>
  <si>
    <t>Sanchez Norma Beatriz</t>
  </si>
  <si>
    <t>Cavado,construcción de 1 alcantarilla de 14 mts de largo por 1,50 de ancho por 0,80 de alto-----</t>
  </si>
  <si>
    <t>en la avenida Intihuan s/n de Las Chacras----------------------------------------------------------------------</t>
  </si>
  <si>
    <t xml:space="preserve">Salustiano Sanchez </t>
  </si>
  <si>
    <t>Limpieza de baños en el evento Motoencuentro en el Balneario Guasmara 25 horas a $35 la --------</t>
  </si>
  <si>
    <t>hora--------------------------------------------------------------------------------------------------------------------</t>
  </si>
  <si>
    <t>Limpieza de baños en el evento Motoencuentro en el Balneario Guasmara 20 horas a $35 la --------</t>
  </si>
  <si>
    <t>Calomeni, Florencia</t>
  </si>
  <si>
    <t>Construcción y pintado con base de pilotes de madera cementado de 1 puente de 8mts.en el ------</t>
  </si>
  <si>
    <t>Sendero Los Zorzales-----------------------------------------------------------------------------------------------</t>
  </si>
  <si>
    <t>Molina Sergio</t>
  </si>
  <si>
    <t>7 troncos de pino tableados---------------------------------------------------------------------------------------</t>
  </si>
  <si>
    <t xml:space="preserve">Manuel Andrada </t>
  </si>
  <si>
    <t>Destrabar y colocar 2 cerraduras nuevas doble paleta incluye mano de obra y material en la Esc.--</t>
  </si>
  <si>
    <t>Magdalena T de Charles--------------------------------------------------------------------------------------------</t>
  </si>
  <si>
    <t xml:space="preserve">Pte. Peron </t>
  </si>
  <si>
    <t>Oliva Mario</t>
  </si>
  <si>
    <t>Pereyra Mario</t>
  </si>
  <si>
    <t>Construcción de un vado en calle Luis Tessandori de 65 mt2 de hormigón a $90 el mt2---------------</t>
  </si>
  <si>
    <t>Miguel Agulles</t>
  </si>
  <si>
    <t xml:space="preserve">MALDONADO, Ruben Victor </t>
  </si>
  <si>
    <t>San Martín</t>
  </si>
  <si>
    <t>Limpieza de las banquinas de ambos lados (aproximadamente 4000 mt) en la recta de Los Pozos--</t>
  </si>
  <si>
    <t>desde la Rotonda hasta el final de la propiedad de Luis del Carmen oviedo--------------------------------</t>
  </si>
  <si>
    <t>Arguello Luis Oscar</t>
  </si>
  <si>
    <t>ANDRADA Segundo Simón</t>
  </si>
  <si>
    <t xml:space="preserve"> la construcción de 60 mt.lineales a $ 120 el mt.lineal de cordón cuneta en la calle SIERRAS  ------</t>
  </si>
  <si>
    <t>GRANDES ESTE'----------------------------------------------------------------------------------------------------</t>
  </si>
  <si>
    <t>ANTONIO Frerichs, Yasmine</t>
  </si>
  <si>
    <t>Taller de Violín meses de Septiembre-Octubre/15 a $3000 cada mes-------------------------------------</t>
  </si>
  <si>
    <t>colocar 5 cerraduras y 3 arreglarla, hacer 12 llaves en dependencias municipales: tales como------</t>
  </si>
  <si>
    <t>Vills de las Rosas</t>
  </si>
  <si>
    <t>sala de quirofano, consultorios, polideportivo,Registro Civil,Guardería Municipal--------------------------</t>
  </si>
  <si>
    <t>Iriarte,Hector Hugo</t>
  </si>
  <si>
    <t>construcción de 60mt2 de contrapiso a $40mt2, 80 mt2 de manpostería a $60 el mt2; 60 mts--------</t>
  </si>
  <si>
    <t>lineales de encadenado a $60 mt.lineal;40mts.lineales de desnivel de manpostería a $80 el mt -------</t>
  </si>
  <si>
    <t xml:space="preserve"> 20mt lineales de columna a $50 el mt.en la casa de Juan Capochi (Ayuda Social)----------------</t>
  </si>
  <si>
    <t>Edelmiro Oviedo</t>
  </si>
  <si>
    <t>CORTAR YPINTAR 25 TABLAS PARA SEÑALIZACION DE  SENDEROS A $35-----------------------</t>
  </si>
  <si>
    <t>confección de 5 delantales para usar con las motoguadañas, incluye material y mano y obra-------</t>
  </si>
  <si>
    <t>BAZAN María Alicia</t>
  </si>
  <si>
    <t xml:space="preserve">San Martín Norte </t>
  </si>
  <si>
    <t>CHACON NELSON GUSTAVO</t>
  </si>
  <si>
    <t>ARREGLO CAPOT FORD F 100---------------------------------------------------------------------------------</t>
  </si>
  <si>
    <t xml:space="preserve">ESQUIU </t>
  </si>
  <si>
    <t>Colocación de 25 mts de cable subterraneo, colocación de 2 farolas y colocación de 2 fotocontrol-</t>
  </si>
  <si>
    <t>en el Jardín de Infantes de la Escuela en Las Chacras -------------------------------------------------------</t>
  </si>
  <si>
    <t>Olmedo Rubén Arturo</t>
  </si>
  <si>
    <t>23 corte de madera de durmientes y sacado de clavos para atractivo turistico las conanas----------</t>
  </si>
  <si>
    <t>TAller de Violín meses de NOVIEMBRE/15 a $3000 EL mes---------------------------------------------</t>
  </si>
  <si>
    <t>datos, cable de red, limpieza, sistema e instalacion pc Gobierno Impresora Obras Privadas, Conta-</t>
  </si>
  <si>
    <t>bilidad, Sitio web, SIGM:Ordenanzas) Dispensario(Instalacion 2 sistemas , 2 wifi, 3 equipos)</t>
  </si>
  <si>
    <t>Radio(Sistema 2 equipos, 1 diagnostico, config. salida web) Municipalidad(Recuperación base de</t>
  </si>
  <si>
    <t>-------------------------------------------------------------------------------------------------------------------------------</t>
  </si>
  <si>
    <t>trabajo con la motoniveladora 56 horas a $65 cada hora en calles de Villa de Las Rosas--------------</t>
  </si>
  <si>
    <t>20 horas de trabajo de limpieza en la Terminal y 25 horas de limpieza en el Balneario Guasmara---</t>
  </si>
  <si>
    <t>a $35 la hora---------------------------------------------------------------------------------------------------------</t>
  </si>
  <si>
    <t>DEZORZI Leandro</t>
  </si>
  <si>
    <t>Reparación de 1 puerta del baño, panel de oficina, y armado de 1 puerta de oficina en la -----------</t>
  </si>
  <si>
    <t>Secretaria Privada--------------------------------------------------------------------------------------------------</t>
  </si>
  <si>
    <t>LosParaisos</t>
  </si>
  <si>
    <t>RODRIGUEZ Juan</t>
  </si>
  <si>
    <t xml:space="preserve">Mza88 </t>
  </si>
  <si>
    <t>casa23</t>
  </si>
  <si>
    <t>Villa Dolores</t>
  </si>
  <si>
    <t>Colocación de 2 cplumnas,mas los 4 cabezales de semaforos,armado de comando de tablero, colocación</t>
  </si>
  <si>
    <t>de 12 plaquetas de led,con sus respectivas fuentes de alimentación, este trabajo incluye mano-------</t>
  </si>
  <si>
    <t xml:space="preserve">  de obra y materiales en la calle Belgrano y Eucaliptus---------------------------------------------------------------------------------------------</t>
  </si>
  <si>
    <t xml:space="preserve">Trabajos en posta de informacion turistica en Plaza San Martin:colocacion de ventanas muchetas </t>
  </si>
  <si>
    <t xml:space="preserve"> de puertas y ventana y arreglo de reboque en interior-----------------------------</t>
  </si>
  <si>
    <t>86 horas trabajadas en tareas de transito  a($40 las horas de evento) ($30 las horas de feria)------</t>
  </si>
  <si>
    <t>confeccion de siete carteles para sendero, mano de obra y material-------------------------------------</t>
  </si>
  <si>
    <t>Leiva, Carlos Fabian</t>
  </si>
  <si>
    <t xml:space="preserve">Calle Publica s/n </t>
  </si>
  <si>
    <t>Bustos, Carlos Alberto</t>
  </si>
  <si>
    <t>colocacion de dos fotos control, colocacion de cuato artefactos de iluminacion nuevas,se ----------</t>
  </si>
  <si>
    <t>cambiaron ocho lamparas----------------------------------------------------------------------------------------</t>
  </si>
  <si>
    <t>colocacion de tres ventiladores,  cable canal y dos llaves nuevas en el salon de la cultura----------</t>
  </si>
  <si>
    <t>Castro, Jorge Omar</t>
  </si>
  <si>
    <t xml:space="preserve"> --------------------------------------------------------</t>
  </si>
  <si>
    <t xml:space="preserve"> ------------------------------------------------------------------------------------------------------------------</t>
  </si>
  <si>
    <t>Trabajo de 86 horas en tareas de transito 24 horas de evento a $ 40 y 42 horas normales a $30  --</t>
  </si>
  <si>
    <t>arreglo de tapizado del asiento  de la Ford F 100 ----------------------------------------------------------</t>
  </si>
  <si>
    <t xml:space="preserve"> --------------------------------------------------------------------------------------------------------------------</t>
  </si>
  <si>
    <t xml:space="preserve"> -----------------------------------------------------------------------------------------------------------------</t>
  </si>
  <si>
    <t>Molina, Brenda Belen</t>
  </si>
  <si>
    <t xml:space="preserve"> ----------------------------------------------------------------------------------------------------------------</t>
  </si>
  <si>
    <t>El Alto Resbaloso</t>
  </si>
  <si>
    <t xml:space="preserve">  desde el dia 23-11-15 al 18-12-15 </t>
  </si>
  <si>
    <t xml:space="preserve">limpieza de aulas y patio de la Escuela Carlos Guido Spano en el Valle 54 horas a $30 la hora </t>
  </si>
  <si>
    <t xml:space="preserve"> ---------------------------------------------------------------------------------------------------------------------</t>
  </si>
  <si>
    <t xml:space="preserve"> --------------------------------------------------------------------------------------------------------------</t>
  </si>
  <si>
    <t>arreglos de revoques grueso y fino de oficina de obras publicas ----------------------------------------</t>
  </si>
  <si>
    <t xml:space="preserve">Paredes, Fidel </t>
  </si>
  <si>
    <t>Barrio Aeronautico</t>
  </si>
  <si>
    <t xml:space="preserve">Villa  Dolores </t>
  </si>
  <si>
    <t>provicion de 15mts de leña de algarrobo a $250 el metro para ser utilizados en eventos ------------</t>
  </si>
  <si>
    <t xml:space="preserve"> municipales -----------------------------------------------------------------------------------------------------</t>
  </si>
  <si>
    <t xml:space="preserve"> ---------------------------------------------------------------------------------------------------------------</t>
  </si>
  <si>
    <t>provicion de 50 postes de algarrobo a $50 c/u, para ser utilizados en lotes municipales ------------</t>
  </si>
  <si>
    <t xml:space="preserve"> ----------------------------------------------------------------------------------------------</t>
  </si>
  <si>
    <t>Oliva, Osvaldo Argentino</t>
  </si>
  <si>
    <t>pintura de tres consultorios del Dispensario Municipal -----------------------------------------------------</t>
  </si>
  <si>
    <t xml:space="preserve"> ----------------------------------------------------------------------------------------------------------------------</t>
  </si>
  <si>
    <t>100 viajes de tierra a $250 cada viaje, para ser utilizadas en arreglar las calles de Villa de Las -----</t>
  </si>
  <si>
    <t xml:space="preserve"> Rosas --------------------------------------------------------------------------------------------------------------</t>
  </si>
  <si>
    <t>Dominguez Celiz, Sol</t>
  </si>
  <si>
    <t xml:space="preserve">trabajo en posta turistica, atencion al publico,  56 horas a $35 la hora desde el 10 ------------------- </t>
  </si>
  <si>
    <t xml:space="preserve"> de diciembre  hasta el 31 de diciembre del 2015 --------------------------------------------------------</t>
  </si>
  <si>
    <t>Ligorria, Carola Beatriz</t>
  </si>
  <si>
    <t xml:space="preserve">trabajo en posta turistica, atencion al publico,  44 horas a $35 la hora desde el 10 ------------------- </t>
  </si>
  <si>
    <t>de diciembre hasta el 31 de dicembre del 2015 -------------------------------------------------------------</t>
  </si>
  <si>
    <t xml:space="preserve">Ricardo Rojas </t>
  </si>
  <si>
    <t>Ramirez Leyria, Erika Ivanna</t>
  </si>
  <si>
    <t>trabajo en posta turistica, atencion al publico, 36 horas a $35 la hora desde el 10 de ---------------</t>
  </si>
  <si>
    <t xml:space="preserve"> diciembre hasta el 31 de diciembre del 2015 ---------------------------------------------------------------</t>
  </si>
  <si>
    <t xml:space="preserve">limpieza y mantenimiento en el balneario y camping guasmara (91 horas) a $35,78 la hora -------- </t>
  </si>
  <si>
    <t xml:space="preserve"> mas 1 hora extra del 20-12-15,  9 horas extras del 25-12-15 y 1 hora extra del 27-12-15 ------------</t>
  </si>
  <si>
    <t xml:space="preserve"> mas 1 hora extra del 20-12-15,  9 horas extras del 25-12-15 y 1 hora extra del 27-12-15 -----------</t>
  </si>
  <si>
    <t xml:space="preserve">  mas 1 hora extra del 20-12-15,  9 horas extras del 25-12-15 y 1 hora extra del 27-12-15 -----------</t>
  </si>
  <si>
    <t xml:space="preserve">Maldonado Ligorria, Yanet </t>
  </si>
  <si>
    <t>trabajo en posta turistica, atencion al publico, 48 horas a $35 la hora desde el 10 de ---------------</t>
  </si>
  <si>
    <t xml:space="preserve"> diciembre hasta el 31 de diciembre del 2015 ----------------------------------------------------------------</t>
  </si>
  <si>
    <t>Los Espinillos s/n</t>
  </si>
  <si>
    <t xml:space="preserve">Sosa, Adriana </t>
  </si>
  <si>
    <t xml:space="preserve">Los Eucaliptos </t>
  </si>
  <si>
    <t xml:space="preserve"> -----------------------------------------------------------------------------------------------------------------------</t>
  </si>
  <si>
    <t xml:space="preserve">Guzman, Vanesa </t>
  </si>
  <si>
    <t>Barrio Teresa de Calcuta</t>
  </si>
  <si>
    <t>30-2-15</t>
  </si>
  <si>
    <t>cambio de dos disyuntores, colocacion de cuatro tortugas, colocacion de enchufes, tendido de ---</t>
  </si>
  <si>
    <t xml:space="preserve"> una linea nueva de electricidad en el Guasmara -------------------------------------------------------------</t>
  </si>
  <si>
    <t>5 carteles viales a $100 cada uno, un total de $500 y 1 pasacalles navideño a $300 -----------------</t>
  </si>
  <si>
    <t xml:space="preserve"> colocacion de enduido, lijado, restauracion y pintado de techo de madera (hall) ---------------------</t>
  </si>
  <si>
    <t>arreglo en posta turistica de Plaza San Martin, pintado exterior e interior de paredes, lijado -------</t>
  </si>
  <si>
    <t xml:space="preserve">limpieza y mantenimiento en el balneario y camping guasmara (91 horas) a $37,78 la hora -------- </t>
  </si>
  <si>
    <t>limpieza y mantenimiento en el balneario y camping guasmara (91 horas) a $37,78 la hora -------</t>
  </si>
  <si>
    <t>Sanchez Barbara Belen</t>
  </si>
  <si>
    <t>limpieza y mantenimiento en el balneario y camping guasmara (98 horas) a $37,78 la hora -------</t>
  </si>
  <si>
    <t>limpieza y mantenimiento en el balneario y camping guasmara (14 horas) a $37,78 la hora -------</t>
  </si>
  <si>
    <t xml:space="preserve">Miguel Angel Sosa </t>
  </si>
  <si>
    <t>trabajos varios de plomeria y gas en Balneario Guasmara -------------------------------------------------</t>
  </si>
  <si>
    <t xml:space="preserve">San Martin </t>
  </si>
  <si>
    <t>Carlos Alberto Miranda</t>
  </si>
  <si>
    <t>destapo una cloaca en el baño del Camping Guasmara ---------------------------------------------------</t>
  </si>
  <si>
    <t>Geronimo Fernandez</t>
  </si>
  <si>
    <t>25 de mayo</t>
  </si>
  <si>
    <t>construccion de pilares para puentes en piedra de muro visto, de altura de 1,60 mts con 8 -------</t>
  </si>
  <si>
    <t xml:space="preserve"> escalones, con colocacion de cuatro luminarias   con base de cemento 1mts de profundidad ----- y llenado,   palos de sosten de varandas --------</t>
  </si>
  <si>
    <t xml:space="preserve">  cabado y llenado, dos canteros de piedra y colocacion de 4 palos de sosten para barandas-</t>
  </si>
  <si>
    <t xml:space="preserve">Trabajo de transito a 40 horas de evento por $40 la hora y 100horas extras comunes a $35 la ---- </t>
  </si>
  <si>
    <t xml:space="preserve"> hora ----------------------------------------------------------------------------------------------------------------</t>
  </si>
  <si>
    <t>armado e instalacion pc coordinacion, instalacion impresora coordinacion, instalacion sistema pc -</t>
  </si>
  <si>
    <t xml:space="preserve"> comercio, instalacion licencias, reubicacion equipos dispensario, modificaciones SIGM: calculo --</t>
  </si>
  <si>
    <t xml:space="preserve"> anual, modificaciones municipalidad (28-12-15 a 18-01-16), conf varias obras publicas ------</t>
  </si>
  <si>
    <t xml:space="preserve"> impregnante,  puente el Parador atardecer en el Valle ----------------------------------------------</t>
  </si>
  <si>
    <t>construciion de pasarela de madera, con base de postes cementados, de 4 metros y medio, con -</t>
  </si>
  <si>
    <t xml:space="preserve"> dos escalones, barandas y pintado con impregnante, lijado y pintado con dos manos de --------</t>
  </si>
  <si>
    <t>Kauer, Sebastian Felipe</t>
  </si>
  <si>
    <t>pintar mamposteria exterior y las rejas del Dispensario Blas Capdevila de Villa de Las Rosas ------</t>
  </si>
  <si>
    <t xml:space="preserve">Bazan, Daniela Rocio </t>
  </si>
  <si>
    <t>Profesor de la escuela de verano en el Balneario Guasmara de Villa de Las Rosas ------------------</t>
  </si>
  <si>
    <t xml:space="preserve"> 75 horas en total  a $35 la hora --------------------------------------------------------------------------------</t>
  </si>
  <si>
    <t xml:space="preserve">Villa Dolores </t>
  </si>
  <si>
    <t>Godoy, Romina Ines</t>
  </si>
  <si>
    <t xml:space="preserve"> 78 horas en total a $35 la hora ---------------------------------------------------------------------------------</t>
  </si>
  <si>
    <t xml:space="preserve">calle publica </t>
  </si>
  <si>
    <t>villa Dolores</t>
  </si>
  <si>
    <t>Aguilera, Franco Ramiro</t>
  </si>
  <si>
    <t xml:space="preserve">Nievas, Dolores Guadalupe </t>
  </si>
  <si>
    <t xml:space="preserve">Altamirano, Federico Andres </t>
  </si>
  <si>
    <t>Escobar, Ana Micaela</t>
  </si>
  <si>
    <t>elaboracion de 1800 ladrillos de tabique de 12x18x33 a $7 c/u, destinado a Ayuda Social--------</t>
  </si>
  <si>
    <t xml:space="preserve">Ferreyra, Angelo Walter </t>
  </si>
  <si>
    <t>150 horas de pintura de cordones y transito por $35 cada hora, 43 horas de evento por $40 la ----</t>
  </si>
  <si>
    <t>Calle Los Molles Oeste</t>
  </si>
  <si>
    <t>tareas de transito : 129 horas extras normales por $35 la hora y 44 horas de evento a $40 la hora</t>
  </si>
  <si>
    <t>Bustos, Rodolfo Cesar</t>
  </si>
  <si>
    <t>calle Sargento Cabral</t>
  </si>
  <si>
    <t xml:space="preserve"> Brochero, Calle Reina Mora -------------------------------------------------------------------------------------</t>
  </si>
  <si>
    <t>construccion de 500 mts lineales de cordon cuneta a $120 el metro lineal en el Barrio Cura ----</t>
  </si>
  <si>
    <t>Reparacion del cajon de la camilla de la ambulancia municipal--------------------------------------------</t>
  </si>
  <si>
    <t xml:space="preserve">Sosa Adriana </t>
  </si>
  <si>
    <t>B° Teresa de Calcuta</t>
  </si>
  <si>
    <t>Pereyra Liliana</t>
  </si>
  <si>
    <t>Limpieza y mantenimiento en balneario municipal Guasmara. 7 horas extras el dia 01/01/2016------</t>
  </si>
  <si>
    <t>Guasmara Este</t>
  </si>
  <si>
    <t>Limpieza y mantenimiento en balneario municipal Guasmara. 7 horas extras el dia 01/01/2016----</t>
  </si>
  <si>
    <t>y 5 horas extras el dia 03/01/2016. -----------------------------------------------------------------------------</t>
  </si>
  <si>
    <t>Pino Luis Eduardo</t>
  </si>
  <si>
    <t>Sereno en Balneario Guasmara. 8 horas extras  el dia 01/01/2016 --------------------------------------</t>
  </si>
  <si>
    <t>Celiz, Antonella Daiana</t>
  </si>
  <si>
    <t>Guardavidas en Balneario Guasmara. 6 horas extras el dia 01/01/2016, 2 horas extras el dia -------</t>
  </si>
  <si>
    <t>05/01/2016,2 horas el dia 12/01/2016, 2 horas el dia 19/01/2016 y 2 horas el 26/01/2016. -----------</t>
  </si>
  <si>
    <t>Carlos Alberto Bustos</t>
  </si>
  <si>
    <t>Instalación electrica en la casa de Florencia Becerra (Ayuda social)-------------------------------------</t>
  </si>
  <si>
    <t>casa 11</t>
  </si>
  <si>
    <t xml:space="preserve">calle pública </t>
  </si>
  <si>
    <t xml:space="preserve">Limpieza y mantenimiento del Balneario Guasmara en el mes de Enero 2016 son  224 horas a </t>
  </si>
  <si>
    <t>$37,78 (pesos treinta y siete con 78/100) --------------------------------------------------------------------</t>
  </si>
  <si>
    <t>Limpieza y mantenimiento del Balneario Guasmara en el mes de Enero 2016 son  229 horas a</t>
  </si>
  <si>
    <t>Limpieza y mantenimiento del Balneario Guasmara en el mes de Enero 2016 son  180 horas a</t>
  </si>
  <si>
    <t>Limpieza y mantenimiento del Balneario Guasmara en el mes de Enero 2016 son  186 horas a</t>
  </si>
  <si>
    <t>6.802.24</t>
  </si>
  <si>
    <t>Arreglo  de calles con motoniveladora 63 horas a $70 la hora en distintos sectores de Villa de Las -</t>
  </si>
  <si>
    <t xml:space="preserve"> Rosas --------------------------------------------------------------------------------------------------------</t>
  </si>
  <si>
    <t xml:space="preserve"> de gas natural -----------------------------------------------------------------------------------------------------</t>
  </si>
  <si>
    <t>armado de tablero electrico con colocacion de jabalina en el predio de la camara reductora -------</t>
  </si>
  <si>
    <t>confeccion de siete carteles de algarrobo para sendero de Villa de Las Rosas ------------------------</t>
  </si>
  <si>
    <t>Molina Lisandro Joel</t>
  </si>
  <si>
    <t xml:space="preserve">Sargento Cabral </t>
  </si>
  <si>
    <t xml:space="preserve">Bazan Daniela Rocio </t>
  </si>
  <si>
    <t>Profesor de la escuela de verano en el Balneario Guasmara de Villa de Las Rosas, 42 horas a  --</t>
  </si>
  <si>
    <t xml:space="preserve"> $35 en el mes de febrero ----------------------------------------------------------------------------------------</t>
  </si>
  <si>
    <t xml:space="preserve">villa Dolores </t>
  </si>
  <si>
    <t>Profesor de la escuela de verano en el Balneario Guasmara de Villa de Las Rosas, 35 horas a -----</t>
  </si>
  <si>
    <t>Calle Belgrano</t>
  </si>
  <si>
    <t>Profesor de la escuela de verano en el Balneario Guasmara de Villa de Las Rosas, 32horas a -----</t>
  </si>
  <si>
    <t>Profesor de la escuela de verano en el Balneario Guasmara de Villa de Las Rosas, 37 horas a -----</t>
  </si>
  <si>
    <t>Profesor de la escuela de verano en el Balneario Guasmara de Villa de Las Rosas, 35 horas a ----</t>
  </si>
  <si>
    <t>El Milagro</t>
  </si>
  <si>
    <t>Atencion en posta turistica 24 horas a $35 la hora en el mes de febrero --------------------------------</t>
  </si>
  <si>
    <t>El Valle</t>
  </si>
  <si>
    <t xml:space="preserve">Para la construccion de 536 mts lineales de cordon cuneta  a $120 el mt lineal en la Calle </t>
  </si>
  <si>
    <t xml:space="preserve"> Sarmiento de Villa de Las Rosas ------------------------------------------------------------------------------- </t>
  </si>
  <si>
    <t>Construcción de 1 puente con pilotes de madera cementados de 9 mts.con baranda y escalones--</t>
  </si>
  <si>
    <t>con 2 manos de inmpregnante-----------------------------------------------------------------------------------</t>
  </si>
  <si>
    <t>Gramaglia Jesús</t>
  </si>
  <si>
    <t>Taller de guitarra en el Salón de Cultura.Mes de Enero de 2016-------------------------------------------</t>
  </si>
  <si>
    <t>Los Hornillos</t>
  </si>
  <si>
    <t>confección de 4 carteles de algarrobo y 1 pasacalle de 8 mts para Dirección de Deportes Mano --</t>
  </si>
  <si>
    <t>con material y mano de obra--------------------------------------------------------------------------------------</t>
  </si>
  <si>
    <t>Andrada Segundo Simon</t>
  </si>
  <si>
    <t>Tareas de Transito: 17 hs a $35 cada hora Mes de Febrero de 2016-------------------------------------</t>
  </si>
  <si>
    <t>-----------------------------------------------------------------------------------------------------------------------------------------------------------------------------</t>
  </si>
  <si>
    <t>trabajo en posta turistica, atencion al publico,  82 horas a $35 la hora en el mes de febrero de-----</t>
  </si>
  <si>
    <t>2016------------------------------------------------------------------------------------------------------------------</t>
  </si>
  <si>
    <t>Lopez Mauro</t>
  </si>
  <si>
    <t>Trabajo con la Motoniveladora en Las Chacras y Los Molles arreglando calles son 77 horas a-------</t>
  </si>
  <si>
    <t xml:space="preserve">9 de Julio </t>
  </si>
  <si>
    <t>s/N</t>
  </si>
  <si>
    <t>Villa Sarmiento</t>
  </si>
  <si>
    <t>$ 70 c/u---------------------------------------------------------------------------------------------------------------</t>
  </si>
  <si>
    <t>Pallero, Ruben Alejandro</t>
  </si>
  <si>
    <t xml:space="preserve">Cavado de 400mt lineales de Zanja para extendido de agua corriente a $35 el mts lineal en loteo --- </t>
  </si>
  <si>
    <t>La Viña, Quebrada Los Pozos------------------------------------------------------------------------------------</t>
  </si>
  <si>
    <t>Instalacion de impresora en red en Hacienda, Secretaria Privada y Mesa de Entrada, cambios en</t>
  </si>
  <si>
    <t>Munici, instalacion equipo Comercio, instalacion impresoras nuevas Obras Publicas, Mesa de En-</t>
  </si>
  <si>
    <t>trada, modificacion registros Obras Publicas.</t>
  </si>
  <si>
    <t>Cambio de cables, colocación de llaves,cambio de artefactos, y cambio de termica en el -----------</t>
  </si>
  <si>
    <t>Dispensario Blas Capdevilla----------------------------------------------------------------------------------------</t>
  </si>
  <si>
    <t>distintas dependencias municipales, y Balneario Guasmara-------------------------------------------------</t>
  </si>
  <si>
    <t xml:space="preserve">hizo 19 llaves nuevas, arreglo de 4 cerraduras y colocación de 1 nueva, y Abrio 2 puertas;  en </t>
  </si>
  <si>
    <t>Cosentino Leandro Matias</t>
  </si>
  <si>
    <t>Obras de Teatro en Plaza San Martín en los meses de Enero y Febrero/2016--------------------------}</t>
  </si>
  <si>
    <t>6 cartes viales a $150 c/u para Transito incluye mano de obra y material--------------------------------</t>
  </si>
  <si>
    <t>Champaqui</t>
  </si>
  <si>
    <t>la hora----------------------------------------------------------------------------------------------------------------</t>
  </si>
  <si>
    <t xml:space="preserve">Tareas de Transito: 131 hs a $35 cada hora Mes de Febrero de 2016 y 44 horas de eventos a $40 </t>
  </si>
  <si>
    <t>Ferreyra Angelo Walter</t>
  </si>
  <si>
    <t xml:space="preserve">Tareas de Transito: 167 hs a $35 cada hora Mes de Febrero de 2016 y 22 horas de eventos a $40 </t>
  </si>
  <si>
    <t>Limpieza y mantenimiento en balneario municipal Guasmara.203 horas a $37,78.Febrero/2016</t>
  </si>
  <si>
    <t>Limpieza y mantenimiento del Balneario Guasmara en el mes de Febrero/2016 son  203 horas a</t>
  </si>
  <si>
    <t xml:space="preserve">Limpieza y mantenimiento del Balneario Guasmara en el mes de Febrero 2016 son  203 horas a </t>
  </si>
  <si>
    <t xml:space="preserve">Limpieza y mantenimiento del Balneario Guasmara en el mes de Febrero 2016 son  189 horas a </t>
  </si>
  <si>
    <t xml:space="preserve">Bañera del Balneario y Camping Guasmara  en el mes de Febrero 2016-------------------------------- </t>
  </si>
  <si>
    <t xml:space="preserve">limpieza y  mantenimiento del Balneario y Camping Guasmara Febrero 2016 203 horas a $37,78 </t>
  </si>
  <si>
    <t xml:space="preserve"> la hora------- --------------------------------------------------------------------------------------------------------</t>
  </si>
  <si>
    <t>Funes julio</t>
  </si>
  <si>
    <t>Colocación de 3 varandas de 3 puentes,reparación de 4 varandas de 2 puentes,colocación de-----</t>
  </si>
  <si>
    <t>tres tablas de 2 puentes,fumigación de 1 puente,con 2 manos de impregnante,y colocación de 12---</t>
  </si>
  <si>
    <t>carteles,colocación de 1 baranda en los senderos municipales.--------------------------------------</t>
  </si>
  <si>
    <t>Vazquez Sergio Eduardo</t>
  </si>
  <si>
    <t>Actuación díA 2 De Enero 2016 en Plaza San Martín-------------------------------------------------------</t>
  </si>
  <si>
    <t>Maldonado Victor Rúben</t>
  </si>
  <si>
    <t>Limpieza y desmalezado  de banquinas de ambos lados de la calle La Represa en Las Chacras----</t>
  </si>
  <si>
    <t xml:space="preserve">Limpieza y desmalezado de  banquinas de ambos lados de la calle Quebracho Colorado en Las---- </t>
  </si>
  <si>
    <t>Chacras'--------------------------------------------------------------------------------------------------------------</t>
  </si>
  <si>
    <t>Leiva Carlos Fabian</t>
  </si>
  <si>
    <t>Tareas de Transito 117 horas a $35 c/u. y 20 horas de evento a $40 cada una-------------------------</t>
  </si>
  <si>
    <t>Vindver Analia</t>
  </si>
  <si>
    <t>Taller de Danzas Africanas desde 03-02-16 al 03-03-16 Dirección de Cultura--------------------------</t>
  </si>
  <si>
    <t>Los Molles</t>
  </si>
  <si>
    <t>Limpieza y desmalezado  de banquinas de ambos lados de la calle Los Morteritos en Las Chacras-</t>
  </si>
  <si>
    <t>Kellner, Esteban Sergio</t>
  </si>
  <si>
    <t>para conformar,preparar y ensayar el Coro de Camara Municipal de Villa de las Rosas, el que-----</t>
  </si>
  <si>
    <t>funcionara los días jueves de 14 a 17 hs.En el Salón de la Cultura de Villa de Las Rosas--------------</t>
  </si>
  <si>
    <t>Concaran</t>
  </si>
  <si>
    <t>San Luis</t>
  </si>
  <si>
    <t>Las Malvinas</t>
  </si>
  <si>
    <t>Grande, Andres Ignacio</t>
  </si>
  <si>
    <t>elaborado en el Camino Real en Las Chacras------------------------------------------------------------------</t>
  </si>
  <si>
    <t>El Quebracho</t>
  </si>
  <si>
    <t>cambio de 2 llaves de ventilador,colocación de 3 llaves de 3 zapatillas y cambio de 4 tubos, en la---</t>
  </si>
  <si>
    <t>Escuela Magdalena T de Charles---------------------------------------------------------------------------------</t>
  </si>
  <si>
    <t>cambio de 3 artefactos de iluminación,colocación de llaves y cambio de termica en el Dispensario</t>
  </si>
  <si>
    <t>Blas Capdevila-------------------------------------------------------------------------------------------------------</t>
  </si>
  <si>
    <t>Construcción de un vado   de 4 mts  de ancho por 4mts de largo y 15 cm de alto de hormigón -----</t>
  </si>
  <si>
    <t>Taller de guitarra en el Salón de Cultura.Mes de Febrero de 2016-------------------------------------------</t>
  </si>
  <si>
    <t>Olmedo Raúl Alberto</t>
  </si>
  <si>
    <t xml:space="preserve">construcción de  19 columnas de cemento de 3mts de altura a $450 cada una------------------------- </t>
  </si>
  <si>
    <t>Fatima</t>
  </si>
  <si>
    <t>Boolls, Marina</t>
  </si>
  <si>
    <t>Concierto Musica Barroca el 13 de Febrero y el 05 de Marzo de 2016-----------------------------------</t>
  </si>
  <si>
    <t>Con Barranca de Los Loros</t>
  </si>
  <si>
    <t>Maldonado, Julio Oscar</t>
  </si>
  <si>
    <t>Buen Retiro</t>
  </si>
  <si>
    <t xml:space="preserve"> 600 mts. de Desmonte del lado este del puente del Arroyo de Los Molles y emparejado del terreno </t>
  </si>
  <si>
    <t>reparación de 5 tubos,($250),instalación de 2 fotocelulas($300),colocación de 1 aplique ($100),---</t>
  </si>
  <si>
    <t>instalación de toma doble($200),colocación de 1 ventilador($300),instalación cable canal($100)------</t>
  </si>
  <si>
    <t>en el Jardín de Infantes de la Escuela Magdalena T. de Charles--------------------------------------</t>
  </si>
  <si>
    <t xml:space="preserve">San Nicolas </t>
  </si>
  <si>
    <t>cambio de 5 llaves ($500), reparación de equipo de 40 w($300), cambio de fotocelula($100)--------</t>
  </si>
  <si>
    <t>instalación de cables ($200) en la Escuela Esteban Echeverria Las Chacras-----------------------------</t>
  </si>
  <si>
    <t>Ataide Vilches, Matias</t>
  </si>
  <si>
    <t>Armado de 2 tableros,cableado, y colocación de 4 tortugas en el puente del Arroyo Los Molles-----</t>
  </si>
  <si>
    <t>restauración de 6 bancos, restauración de 14 cruces de madera ,pintado de babaranda perimetral</t>
  </si>
  <si>
    <t>completa, y colocación de cartel en la misma------------------------------------------------------------------</t>
  </si>
  <si>
    <t>Instalacion de impresoras locales en Comercio y Secretaria Privada, instalacion sistema Hacienda</t>
  </si>
  <si>
    <t xml:space="preserve">y Concejo Deliberante, armado pc Hacienda, recuperacion disco Hacienda, cambios varios en </t>
  </si>
  <si>
    <t>Munici, configuracion red Comercio</t>
  </si>
  <si>
    <t>22 horas extras comunes a $35 la hora tareas de Transito. Mes de Marzo de 2016--------------------</t>
  </si>
  <si>
    <t>reparación de 6 puertas de madera y arreglo de 15 ventanas en la Escuela Magdalena T de -------</t>
  </si>
  <si>
    <t>Charles con material y mano de obra----------------------------------------------------------------------------</t>
  </si>
  <si>
    <t>fabricación de cruz de madera de 1,30 de alto x 80cm.de zoita para la gruta de la calle Fatima-----</t>
  </si>
  <si>
    <t>del paraje de Los Pozos, incluye mano de obra y materia----------------------------------------------------</t>
  </si>
  <si>
    <t>Los Paraisos</t>
  </si>
  <si>
    <t>pintado completo de las 15 estaciones,base de cemento,paño y leyenda,restauración y pintado----</t>
  </si>
  <si>
    <t>del Cristo, restauración de carteles de ingreso,todo con material incluido.en el Cristo del -------------</t>
  </si>
  <si>
    <t>Guasmara------------------------------------------------------------------------------------------------------</t>
  </si>
  <si>
    <t>Limpieza y mantenimiento del Balneario Guasmara en el mes de Marzo 2016 son  14 horas a</t>
  </si>
  <si>
    <t>limpieza y mantenimiento en el balneario y camping Guasmara (14 horas) a $37,78 la hora -------</t>
  </si>
  <si>
    <t>del día 12-03-16 hizo 7 horas y el día 13-03-16 hizo 7 horas-----------------------------------------------</t>
  </si>
  <si>
    <t>$37,78 (pesos treinta y siete con 78/100) el día 05-3 hizo 7 horas y el 06-03-16 hizo 7 horas--------</t>
  </si>
  <si>
    <t xml:space="preserve">guasmara </t>
  </si>
  <si>
    <t>Pintura de 8 carteles viales, a $170 c/u incluye mano de obra y material, para Transito---------------</t>
  </si>
  <si>
    <t>Carrizo Mario Antonio</t>
  </si>
  <si>
    <t>Alquiler de sonido Plaza San Martín día 26-03-16------------------------------------------------------------</t>
  </si>
  <si>
    <t>elaboracion de 1050 ladrillos de 12x18x33 a $7,50 c/u, y 840 ladrillos de 18x18x33 a</t>
  </si>
  <si>
    <t>$10 c/u destinado a Ayuda Social---------------------------------------------------------------------------------</t>
  </si>
  <si>
    <t>la construcción de 70 mts2 de carpeta en el techo,46 mts2 de reboque grueso y fino, Colocación de 10mts2 de ceramicos</t>
  </si>
  <si>
    <t>de 10 mt2 de ceramicos, 5 cajas y registros de luz, y de 1 puerta en la casa de la Sra.                      Leonor Quiroga(Ayuda Social)--------</t>
  </si>
  <si>
    <t>Leonor Quiroga (Ayuda Social)'-----------------------------------------------------------------------------</t>
  </si>
  <si>
    <t>Atencion posta turistica los dias sabados del mes de Marzo y fin de semana de Pascuas, 56 -----</t>
  </si>
  <si>
    <t>horas en total a $35 la hora---------------------------------------------------------------------------------------</t>
  </si>
  <si>
    <t xml:space="preserve"> 60 mt2 de limpieza y desmonte en El Parador del arroyo de Los Molles,lado oeste-------------------- </t>
  </si>
  <si>
    <t>Armado de puente de madera, con varandas, y 2 manos de impregnante-------------------------------</t>
  </si>
  <si>
    <t>tareas de transito : 6 horas de eventos $40 c/u,37 horas a $35 c/u---------------------------------------</t>
  </si>
  <si>
    <t>36.91|7.651</t>
  </si>
  <si>
    <t>construcción de 1 muro de piedra de 16 mts lineales por 1,20 mt. con cimiento, 4 escalones de 2--</t>
  </si>
  <si>
    <t>mts. lineales,4 escalones de 1mt.lineal con contrapiso revestido en piedra,1 cantero de piedra,------</t>
  </si>
  <si>
    <t>colocación de 2 luces embutidas en muro de piedra en Parador Arroyo Los Molles---------------</t>
  </si>
  <si>
    <t>arreglo de 6 luminarias en las estaciones del via crusis del Cristo del Guasmara-----------------------</t>
  </si>
  <si>
    <t xml:space="preserve">Tareas de Transito: 150 hs a $35 cada hora Mes de Marzo de 2016 y 06 horas de eventos a $40 </t>
  </si>
  <si>
    <t xml:space="preserve"> 2 pintado de la señalización "Discapacitados", sobre 25 de Mayo y 1 cartel de madera para Feria </t>
  </si>
  <si>
    <t xml:space="preserve"> en la calle Los Molles,de la plaza San Martín-------------------------------------------------------------------</t>
  </si>
  <si>
    <t>45 horas extras a $35,c/u, y 14 horas de eventos a $40 C/U,en tareas de transito.Mes de Marzo---</t>
  </si>
  <si>
    <t xml:space="preserve"> '---------------------------------------------------------------------------------------------</t>
  </si>
  <si>
    <t>lijado, pintura y plastificado del Molino de la plaza San Martín---------------------------------------------</t>
  </si>
  <si>
    <t>se arreglo toda la cañería del patio, se cambiaron 2 artefactos en los grados,y se arreglo 3 --------</t>
  </si>
  <si>
    <t>enchufes y se cambio la llave del ventilador en la Esc.Magdalena T de Charles--------------------------</t>
  </si>
  <si>
    <t>reparación de 2 calesitas,$600 c/u, arreglo puerta de barnitory $100, reparación y colocación-----</t>
  </si>
  <si>
    <t>Magdalena T. de Charles------------------------------------------------------------------------------------</t>
  </si>
  <si>
    <t>reparación de 1 mueble de cocina, fabricación y colocación de estantes en el Dispensario Blas----</t>
  </si>
  <si>
    <t>Capdevila-------------------------------------------------------------------------------------------------------------</t>
  </si>
  <si>
    <t>Taller de guitarra en el Salón de Cultura.Mes de Marzo de 2016-------------------------------------------</t>
  </si>
  <si>
    <t>Taller de Danzas Africanas desde 03-03-16 al 03-04-16 Dirección de Cultura--------------------------</t>
  </si>
  <si>
    <t>Pintado de 6 carteles viales con mano de obra y material---------------------------------------------------</t>
  </si>
  <si>
    <t>Pintado de 1 pasacalle muestra de automoviles (Mano de obra y material)para la Dirección de------</t>
  </si>
  <si>
    <t>Deportes--------------------------------------------------------------------------------------------------------------</t>
  </si>
  <si>
    <t>Avila Silvia Graciela</t>
  </si>
  <si>
    <t>Taller de tejido mes de Marzo de 2016-------------------------------------------------------------------------</t>
  </si>
  <si>
    <t>de las barandas de los toboganes $300,y arreglo de mesas $200 , en el Jardín de Infantes Escuela-  M.de Charles-----------------------------------------------------</t>
  </si>
  <si>
    <t xml:space="preserve">Tareas de Transito: 175 hs a $35 cada hora Mes de Marzo de 2016-------------------------------------- </t>
  </si>
  <si>
    <t>Sanchez de Bustamante</t>
  </si>
  <si>
    <t>En Inspección: 1 anafle y 3 calefactores,Pasillo 2,Salón 4 pantallas ,Cocina:2 pantallas ,10 calefactores en aulas auxiliares,--</t>
  </si>
  <si>
    <t>,cocina y termotanque,rejillas,en ventilaciones reglamentaria prueba de hermeticidad total-----------------------</t>
  </si>
  <si>
    <t xml:space="preserve">Proyecto e Instalación de Gas Natural en la Esc M T. de Charles ejecución de 250 mt de cañería -------------------------------------- </t>
  </si>
  <si>
    <t>Bonino Martín Dario</t>
  </si>
  <si>
    <t>hizo 17 llaves para distintas dependencias municipales,4 arreglos o destrabes de puertas,8 ---------</t>
  </si>
  <si>
    <t>2 duplicados de llaves y colocar una falliva----------------------------------------------------------------</t>
  </si>
  <si>
    <t>cambios de cerradura, y en la Esc. M. de Charles: 3 cambios de cerradura,1 arreglo de cerradura</t>
  </si>
  <si>
    <t>HERES Laura Gabriela</t>
  </si>
  <si>
    <t>Servicio veterinario Municipal --------------------------------------------------------------------------------------------------</t>
  </si>
  <si>
    <t>Romero Rubén Dario</t>
  </si>
  <si>
    <t>Luis Torres Amaral</t>
  </si>
  <si>
    <t>Cortado, armado y soldado de 7 siete uñas balde para la Pala Mecanica Michigan 75 HP a $800 --</t>
  </si>
  <si>
    <t>c/u---------------------------------------------------------------------------------------------------------------------</t>
  </si>
  <si>
    <t>2 carteles viales y 1 cartel de algarrobo "Dispensario Amado Romero",incluye material y mano de--</t>
  </si>
  <si>
    <t>obra--------------------------------------------------------------------------------------------------------------------</t>
  </si>
  <si>
    <t>fabricación y colocación de 3  estantes en baño y cocina del dispensario El Alto----------------------</t>
  </si>
  <si>
    <t>Vallejo Oscar Rubén</t>
  </si>
  <si>
    <t>Limpieza y desmalezado  de banquinas de ambos lados del camino "La Aguadita" desde su --------</t>
  </si>
  <si>
    <t>ingreso hasta la Familia Bustos-----------------------------------------------------------------------------------</t>
  </si>
  <si>
    <t>Instalacion y limpieza de PCs en comisaria, configuracion de salida de radio a Internet.</t>
  </si>
  <si>
    <t>ETCHECHURY PEDRO</t>
  </si>
  <si>
    <t xml:space="preserve">Instalacion compresor nuevo, regulado y calibrado dispensario Los Pozos, reparacion perdida de </t>
  </si>
  <si>
    <t>aire en platino, limpieza de filtro y purgado de compresor Dispensario De Villa de las Rsosas</t>
  </si>
  <si>
    <t xml:space="preserve">Luis Laje </t>
  </si>
  <si>
    <t>ROLDAN MARCELO ROBERTO</t>
  </si>
  <si>
    <t xml:space="preserve">HORAS TRABAJADAS EN EL DISPENSARIO VILLA DE LAS ROSAS SERVICIO PRESTADO </t>
  </si>
  <si>
    <t>COMO PROFESIONAL MEDICO 26 HS A $150 (PESOS CIENTO CINCUENTA) POR HORA</t>
  </si>
  <si>
    <t xml:space="preserve">CUMPLIDAS EN EL MES DE MARZO </t>
  </si>
  <si>
    <t>LIBERTADOR URQUIZA</t>
  </si>
  <si>
    <t>de techo, en la casa de Zulma Dicesare (Ayuda Social)------------------------------------------------------</t>
  </si>
  <si>
    <t xml:space="preserve"> 20mt2 de reboque grueso y fino, 6mts2 de pared con encadenado, 95mt2 de carga------------------</t>
  </si>
  <si>
    <t>Esteban Echeverría Las Chacras--------------------------------------------------------------------------------</t>
  </si>
  <si>
    <t>Arias, Luis</t>
  </si>
  <si>
    <t>provisión de 20mt3. piedra bola  a $ 160 el mt3, destinado a obras diversas-----------------------------</t>
  </si>
  <si>
    <t>El Cicuito</t>
  </si>
  <si>
    <t xml:space="preserve">colocación  de 1 puerta de chapa,y pintura de abertura y paredes en los baños de la Esc.--------- </t>
  </si>
  <si>
    <t xml:space="preserve">construcción de 1 puente de 6 mts de largo x 3 anchox15 cm espesor en el canal de la calle-------- </t>
  </si>
  <si>
    <t>en El Valle frente a la Escuela-------------------------------------------------------------------------------------</t>
  </si>
  <si>
    <t>provicion de 29mts3. de leña de algarrobo a $300 el metro3. para ser utilizados en eventos ------------</t>
  </si>
  <si>
    <t xml:space="preserve">36 horas trabajadas en tareas de transito  a($40 la hora)mes de Abril 2016----------------------------- </t>
  </si>
  <si>
    <t>Ferrando Hugo</t>
  </si>
  <si>
    <t xml:space="preserve">Cambio del cabliado en Mesa de Entrada,Hacienda, Secretaría de Cordinación de la --------------- </t>
  </si>
  <si>
    <t>Municipalidad--------------------------------------------------------------------------------------------------------</t>
  </si>
  <si>
    <t>colocación de cables, llaves, y artefactos de luminaria, en la casa de Molina Luz Adriana (Ayuda--</t>
  </si>
  <si>
    <t>Social-----------------------------------------------------------------------------------------------------------------</t>
  </si>
  <si>
    <t>tareas de transito : 50 horas  por $40 la hora. MES DE ABRIL 2016--------------------------------------</t>
  </si>
  <si>
    <t xml:space="preserve">elaboracion de 550 ladrillos de 12x18x33 a $7,50c/u,y 260 ladrillos de 18x18x33 a $11,50 c/u------- </t>
  </si>
  <si>
    <t>destinado a Ayuda Social------------------------------------------------------------------------------------------</t>
  </si>
  <si>
    <t>Charles:cambio de 3 tubos y 2 reactancias.-----------------------------------------</t>
  </si>
  <si>
    <t>Esc.Esteban Echeverria cambio: 2 tubos, 1 fotocelula,4 portalamparas, en Esc.Niñas de Ayohuma</t>
  </si>
  <si>
    <t>:reparación de perdida electrica,cambio disyuntor y termica.Inspección Esc. Magdalena T. de ------</t>
  </si>
  <si>
    <t>Polideportivo:cambio 5 lamparas.En Cultura:reparación electrica y cambio de termica.Plaza San---</t>
  </si>
  <si>
    <t>leta San Miguel :reparación de una perdida de energía electrica-------------------------------------</t>
  </si>
  <si>
    <t>Martín:instalación de 15 luminarias.En Plazoletas de la villa: se cambiaron 7 lamparas y en  Plazo-</t>
  </si>
  <si>
    <t>provisión de 15mt3. piedra bola  a $ 160 el mt3, destinado a obras diversas-----------------------------</t>
  </si>
  <si>
    <t xml:space="preserve">limpieza y desmalezado de  banquinas de ambos lados desde el Parador Calle Oscura hasta------- </t>
  </si>
  <si>
    <t>el Ingreso al Vado de Las Chacras------------------------------------------------------------------------------</t>
  </si>
  <si>
    <t xml:space="preserve">limpieza y desmalezado de  banquinas de ambos lados desde la casa de Dña. Nieves Moreno------ </t>
  </si>
  <si>
    <t>hasta los terrenos de la Flia Toranzo en Barrio Buen Retiro-------------------------------------------------</t>
  </si>
  <si>
    <t>Ortega Gustavo Alejandro</t>
  </si>
  <si>
    <t>vista a $500 el mt2.en los canteros de la Plaza San Martín---------------------------------------------------</t>
  </si>
  <si>
    <t>la construcción de 32 mts2. lineales de cimiento a $140 el mt. lineal y 32 mts de muro de piedra----</t>
  </si>
  <si>
    <t>Saccagno Daniel Esteban</t>
  </si>
  <si>
    <t>chapa y pintura de vehiculos municipales:camión compactador,ambulancia Duccato,Fiat Fiorino---</t>
  </si>
  <si>
    <t>Amarok----------------------------------------------------------------------------------------------------------------</t>
  </si>
  <si>
    <t>calle Oscura</t>
  </si>
  <si>
    <t>Construcción de 50 mt.lineales de encadenado (a $ 120 el mt.),30 mt lineales de columnas(a $120</t>
  </si>
  <si>
    <t>el mt.) y 50 mts lineales de capa aisladora a ( $40 el mt.),en la casa de Javier Oviedo(Ayuda---------</t>
  </si>
  <si>
    <t>Social)-----------------------------------------------------------------------------------------------------------</t>
  </si>
  <si>
    <t>Bustos Rodolfo Cesar</t>
  </si>
  <si>
    <t>construcción de 600 mts lineales ($120 el Mt) de cordón cuneta en la calle Luis Tessandori---------</t>
  </si>
  <si>
    <t>entre la calle Los Eucaliptus y Sierras Grandes---------------------------------------------------------------</t>
  </si>
  <si>
    <t>Sargento  cabral</t>
  </si>
  <si>
    <t>Villa  de Las Rosas</t>
  </si>
  <si>
    <t xml:space="preserve">mano  de obra y material , de 1 Cartel Vial $400 para Transito -------------------------------------------- </t>
  </si>
  <si>
    <t>mano  de obra y material , de 2 carteles con nombre de calles, 2 carteles Dispensario El Alto-------</t>
  </si>
  <si>
    <t>Cambio de cableado de electricidad y telefono en la Dirección,colocación de cable canal y cables-</t>
  </si>
  <si>
    <t>nuevos en el Salón Comedor en la Escuela Magdalena T de Charles--------------------------------------</t>
  </si>
  <si>
    <t xml:space="preserve">Para la construccion de 234 mts lineales de cordon cuneta  a $140 el mt lineal en la Calle </t>
  </si>
  <si>
    <t>Rene Favaloro (entre calle San Martín y Sarmiento)-----------------------------------------------------------</t>
  </si>
  <si>
    <t>Villafañe Mauro Mario Gonzalo</t>
  </si>
  <si>
    <t>construcción de 50 mt.lineales de cordon cuneta (a $ 120 el mt.),en la calle Las Moreras------------</t>
  </si>
  <si>
    <t>Miguel Cane</t>
  </si>
  <si>
    <t>Construccion de una alacena de madera 85cm x 50cm x 35cm con material incluido------------------</t>
  </si>
  <si>
    <t>para la cocina del la Municipalidad de Villa de Las Rosas----------------------------------------------------</t>
  </si>
  <si>
    <t xml:space="preserve">limpieza y desmalezado de  banquinas de ambos lados calle El Viejo Callejón en Las Chacras------ </t>
  </si>
  <si>
    <t>construcción de 5 asadores en el Parador Los Molles ------------------------------------------------------</t>
  </si>
  <si>
    <t>alquiler de sonido en Salón Parroquial de Los Pozos el día 21-05-16-------------------------------------</t>
  </si>
  <si>
    <t>reparación de caños y cables del sector cocina, colocación de cables nuevos en la ampliación de-</t>
  </si>
  <si>
    <t>una aula, en la Escuela Magdalena T de Charles--------------------------------------------------------------</t>
  </si>
  <si>
    <t>cambio de cables y termica en el Dispensario de Las Chacras--------------------------------------------</t>
  </si>
  <si>
    <t>Construcción de 142 mt.2 de mampostería de ladrillón visto (a $ 180 el mt.),en la casa de Javier---</t>
  </si>
  <si>
    <t>Oviedo (Ayuda Social)----------------------------------------------------------------------------------------------</t>
  </si>
  <si>
    <t>Balmaceda Roque Andres</t>
  </si>
  <si>
    <t>Colocación de riego por goteo en la Plaza San Martin-------------------------------------------------------</t>
  </si>
  <si>
    <t>Ruta 14</t>
  </si>
  <si>
    <t>50 horas extras comunes a $40 la hora tareas de Transito. Mes de Mayo de 2016--------------------</t>
  </si>
  <si>
    <t>tareas de transito : 70 horas  por $40 la hora. MES DE Mayo 2016--------------------------------------</t>
  </si>
  <si>
    <t>Pereyra Mario Alfredo</t>
  </si>
  <si>
    <t>DEZORZI Leandro Martín</t>
  </si>
  <si>
    <t>reparación y fabricación de 2 respaldares y asiento de 2 calesitas, 1 subibaja y 3 caballitos con--</t>
  </si>
  <si>
    <t>material y mano de obra en el Jardín de Infantes M T de Charles Anexo 2 Los Pozos------------------</t>
  </si>
  <si>
    <t xml:space="preserve">Los Pozos </t>
  </si>
  <si>
    <t>Instalación electrica y colocación de artefactos,llaves, reparación de ventiladores en la Escuela----</t>
  </si>
  <si>
    <t>Alvarez José</t>
  </si>
  <si>
    <t>sacar 4 ventanas, colocar 4 ventanas nuevas, mampostería grueso y fino, y colocar 4 rejas en el--</t>
  </si>
  <si>
    <t>Jardín de Infantes de la Esc.Magdalena T. de Charles--------------------------------------------------------</t>
  </si>
  <si>
    <t>construcción de 18 mts2 de contrapiso de hormigón pobre a $2000, y 19 mt.lineales de vereda----</t>
  </si>
  <si>
    <t>perimetral a $2000, 18 mt2 de carpeta y colocación de piso $3000, según Anexo 1. Salón -----------</t>
  </si>
  <si>
    <t>comercial Los Pozos, convenio de permuta Sosa Antonio y Nicasia Romero-----------------------.</t>
  </si>
  <si>
    <t>Sosa Antonio Exequiel</t>
  </si>
  <si>
    <t>colocar 6 mt. de zocalo,5 mts. de antepecho de ventanas, 1,70 mt de ceramicos en la cocina------</t>
  </si>
  <si>
    <t xml:space="preserve"> ,sacar un aire acondicionado y tapar la abertura y reboque completo,picar y rebocar la</t>
  </si>
  <si>
    <t>pared de la dirección, y remiendos diversos en Jardín de Infantes M. de Charles-----------------</t>
  </si>
  <si>
    <t>Leyria, Cecilia Del Valle</t>
  </si>
  <si>
    <t>calle oscura</t>
  </si>
  <si>
    <t>uniformes para visitas sociales ---------------------------------------------------------------------------------------------</t>
  </si>
  <si>
    <t>reparación de 6 ventanas, 1 puerta principal, 1 pizarrón y pintura de 2 pizarrones de 1,80 x 1,30--</t>
  </si>
  <si>
    <t>con material y mano de obra en la Esc. M T de Charles------------------------------------------------------</t>
  </si>
  <si>
    <t>elaboracion de 1380 ladrillos de tabique de 12x18x33 a $8 c/u, 150 ladrillos 18x18x33 a $10 c/u----</t>
  </si>
  <si>
    <t>Arguello Luis  Oscar</t>
  </si>
  <si>
    <t>Arguello  Luis Oscar</t>
  </si>
  <si>
    <t xml:space="preserve"> construcción de 390 mts lineales de cordón cuneta a $140 el mt lineal, en calle Doña Fina----------</t>
  </si>
  <si>
    <t>LUJAN, Sergio David</t>
  </si>
  <si>
    <t>colocación de 33 mt2 de ceramicos a $130 el mt2 en la casa de Nilda Aguirre (Ayuda Social)------</t>
  </si>
  <si>
    <t>Rene Favarolo</t>
  </si>
  <si>
    <t>instalación de 21 luminarias a $300 c/u,traslado de llaves termicas $600, cambio de tomas y -------</t>
  </si>
  <si>
    <t>cableado $800, en Plaza San Martín--------------------------------------------------------------------------------</t>
  </si>
  <si>
    <t>BALMACEDA Abel Alfonso</t>
  </si>
  <si>
    <t>se hizo cambio de 5 cerraduras,1 manija, y 1 portacandado en armario de la Escuela M. T.de------</t>
  </si>
  <si>
    <t>Charles-----------------------------------------------------------------------------------------------------------------</t>
  </si>
  <si>
    <t>hizo 9 llaves ,,2 arreglos o destrabes de puertas,2 cambios de cerradura en distintas ----------------</t>
  </si>
  <si>
    <t>dependencias municipales-----------------------------------------------------------------------------------------</t>
  </si>
  <si>
    <t>CASTRO, Omar Jorge</t>
  </si>
  <si>
    <t>Agustín Alvarez</t>
  </si>
  <si>
    <t>el tapizado del asiento de la camioneta Ford F 100-----------------------------------------------------------</t>
  </si>
  <si>
    <t>construcción de 458 mts lineales ($140 el Mt) de cordón cuneta en la calle Doña Fina sector sur y-</t>
  </si>
  <si>
    <t>cambio de cables, cambio de artefactos,colocación de tomas y colocación de llave termica en el---</t>
  </si>
  <si>
    <t>construcción de 17mt2 de carpeta de nivelación  a $70 el mt2, en la casa de Nilda Aguirre (Ayuda-</t>
  </si>
  <si>
    <t>60 horas trabajadas en tareas de transito  a($40 la hora) Mes de Junio 2016---------------------------</t>
  </si>
  <si>
    <t>tareas de transito : 67 horas  a $40 la hora.Mes de Junio 2016--------------------------------------------</t>
  </si>
  <si>
    <t>fabricación mueble esquinero, 1 perchero de 1,70 de largo y 1 baúl cuadrado de 60x50 para la----</t>
  </si>
  <si>
    <t>Guardería Rayito de Luz--------------------------------------------------------------------------------------------</t>
  </si>
  <si>
    <t xml:space="preserve">                                                                                                                                                                                                                              </t>
  </si>
  <si>
    <t>sonido en Plazoleta de Los Pozos día 02 de Julio Acto de Marisol Rearte-------------------------------</t>
  </si>
  <si>
    <t>Instalación electrica y colocación de cañerías y cajas,cables,armado de llaves y tomas,colocación</t>
  </si>
  <si>
    <t>de artefactos y armado de tablero en Esc. Magdalena T. de Charles---------------------------------------</t>
  </si>
  <si>
    <t>Cambio de cables de los dos baños, llaves, y termica, en la Terminal de Omnibús ---------------------</t>
  </si>
  <si>
    <t>Romero Ramon Antonio</t>
  </si>
  <si>
    <t>callejon Dewar</t>
  </si>
  <si>
    <t>provisión de 10mt3. piedra partida  a $200 el mt3, destinado a obras públicas diversas---------------</t>
  </si>
  <si>
    <t xml:space="preserve">Dean Funes </t>
  </si>
  <si>
    <t>Capilla del Monte</t>
  </si>
  <si>
    <t>Maria de Las Nieves Rodriguez</t>
  </si>
  <si>
    <t>Mario Renato Zanoni</t>
  </si>
  <si>
    <t>Actuacion Evento Jornada de Musica y Palabras --------------------------------------------------------------------</t>
  </si>
  <si>
    <t xml:space="preserve"> Locutor Evento Jornada de Musica y Palabras -----------------------------------------------------------------------</t>
  </si>
  <si>
    <t>Ricardo Pedroni</t>
  </si>
  <si>
    <t>Roman Ignacio Ramonda</t>
  </si>
  <si>
    <t>Av.Leandro N. Alen</t>
  </si>
  <si>
    <t>Lucas Miguel Ibañez</t>
  </si>
  <si>
    <t xml:space="preserve"> --------------------------------------------------------------------------------------------------------------------------</t>
  </si>
  <si>
    <t xml:space="preserve">25 de  Mayo </t>
  </si>
  <si>
    <t>Quilino</t>
  </si>
  <si>
    <t>Miguel Rivaynera</t>
  </si>
  <si>
    <t xml:space="preserve"> ----------------------------------------------------------------------------------------------------------------------------</t>
  </si>
  <si>
    <t>Colon</t>
  </si>
  <si>
    <t>Alberdi</t>
  </si>
  <si>
    <t>Mateo Ayende</t>
  </si>
  <si>
    <t>11,976,064</t>
  </si>
  <si>
    <t>$ 6.000.00</t>
  </si>
  <si>
    <t>Coordinacion de Evento Jornada de Musica y Palabras ---------------------------------------------------</t>
  </si>
  <si>
    <t>Copiapo</t>
  </si>
  <si>
    <t>provisión de 60 viajes de tierra a $400 c/u destinados arreglo de calles en el ejido municipal de ----</t>
  </si>
  <si>
    <t>Villa de Las Rosas---------------------------------------------------------------------------------------------------</t>
  </si>
  <si>
    <t>Sanchez Mario Andres</t>
  </si>
  <si>
    <t xml:space="preserve"> 8 días de trabajo de poda de rosas a $ 400 el día en el ejido municipal de Villa de Las Rosas------- </t>
  </si>
  <si>
    <t>San José</t>
  </si>
  <si>
    <t>renglon4</t>
  </si>
  <si>
    <t>renglon5</t>
  </si>
  <si>
    <t>renglon6</t>
  </si>
  <si>
    <t xml:space="preserve"> de reboque grueso y fino a$180 el mt2 ,mesada y sangria $1700 Esc N.de Ayohuma --------------</t>
  </si>
  <si>
    <t>construcción 8 mt2 de Muro de ladrillo a $120 mt2,12 mt2 de loza a $220 el mt2, 10 mt. ----------</t>
  </si>
  <si>
    <t xml:space="preserve">encadenado y columna a $ 150 el mt. 12 mt de contrapiso y carpeta a $190 el mt.2 colocación </t>
  </si>
  <si>
    <t xml:space="preserve">de 2 aberturas a $1000, 4mts de vereda a 100 el mt, instalación electrica y agua $2000, 38 mt2 </t>
  </si>
  <si>
    <t>-----------------------------------------------------------------------------------------------------------------------------------------</t>
  </si>
  <si>
    <t>'-----------------------------------------------------------------------------------------------------------------------------------------</t>
  </si>
  <si>
    <t>Arroyo, Sergio Gustavo</t>
  </si>
  <si>
    <t>3 lavados de ambulancia a $380 c/u, 2 lavados de Fiat ducato (Transporte especial)a $400 C/U---</t>
  </si>
  <si>
    <t>Miguel Lucena</t>
  </si>
  <si>
    <t xml:space="preserve">     </t>
  </si>
  <si>
    <t>Modificaciones en sistema de gestion municipal (Munici) -------------------------------------------------</t>
  </si>
  <si>
    <t xml:space="preserve"> Instalación de linea telefonica y armado completo de pilar de la luz en el Area de Acción Social---</t>
  </si>
  <si>
    <t xml:space="preserve">Para la construcción de 60 mt.lineales a $150 el mt,de cimiento y encadenado,14 zapatas a $200- </t>
  </si>
  <si>
    <t xml:space="preserve"> la casa de  Nora Luciana Montenegro (Ayuda Social)-------------------------------</t>
  </si>
  <si>
    <t xml:space="preserve">c/u. 60 mt.lineales de nivelación $7000, y 60 mt.lineales de capa aisladora a $120 el mt. lineal en  </t>
  </si>
  <si>
    <t>88 horas trabajadas en tareas de transito  a($40 la hora) Mes de Julio 2016---------------------------</t>
  </si>
  <si>
    <t>116 horas de tareas de transito :   a $40 la hora.Mes de Julio 2016---------------------------</t>
  </si>
  <si>
    <t>elaboracion de 1780 ladrillos de tabique de 12x18x33 a $8 c/u, y 400 ladrillo de tabique 18x18x33-</t>
  </si>
  <si>
    <t>a  $11 c/u destinados a Ayuda Social-------------------------------------------------------------------------</t>
  </si>
  <si>
    <t xml:space="preserve"> Instalación de lineas electricas para aire acondicionado y colocación de reflector con sensor de </t>
  </si>
  <si>
    <t>movimiento y reparación de cable en la Muncipalidad de villa de Las Rosas----------------------------</t>
  </si>
  <si>
    <t>Molina Andrea Sofia</t>
  </si>
  <si>
    <t>Confeccion de delantales para personal de la Guarderia ----------------------------------------------------------</t>
  </si>
  <si>
    <t>Villa de Las Rosas</t>
  </si>
  <si>
    <t>Norma Ines Guzman</t>
  </si>
  <si>
    <t>junquillo</t>
  </si>
  <si>
    <t>Confeccion de camisas para uniformes femeninos del personal de oficina ----------------------------</t>
  </si>
  <si>
    <t>MALDONADO RUBEN VICTOR</t>
  </si>
  <si>
    <t xml:space="preserve">Desmonte y limpieza de la calle Pública desde el Parador de la Calle Oscura hasta el Balneario </t>
  </si>
  <si>
    <t>Guasmara de Villa de Las Rosas-------------------------------------------------------------------------------</t>
  </si>
  <si>
    <t>LOPEZ Mauro Antonio</t>
  </si>
  <si>
    <t>Rosas---------------------------------------------------------------------------------------------------------------</t>
  </si>
  <si>
    <t>31 horas de trabajo de manejo de la motoniveladora a ($100 la hora) en calles de Villa de Las------</t>
  </si>
  <si>
    <t>IGNAUGURACION ASFALTO LAS CHACRAS --------------------------------------------------------------</t>
  </si>
  <si>
    <t>LOPEZ JOSE ANTONIO</t>
  </si>
  <si>
    <t>actuar con su grupo musical “LOS FESTIVALEROS ” POR 2300 PESOS  ------------------------------------</t>
  </si>
  <si>
    <t xml:space="preserve"> en el evento llevado a cavo el día 07 de agosto DE 2016 EN --------------------------------------------</t>
  </si>
  <si>
    <t>actuar con su grupo musical “GRUPO ORIGEN ” POR 4500 PESOS  ------------------------------------</t>
  </si>
  <si>
    <t>MADRE TERESA DE CALCUTA</t>
  </si>
  <si>
    <t>BUSTOS JUAN MIGUEL</t>
  </si>
  <si>
    <t>restauración de repisa de 2,5 mts,y mesada completa con materiales y mano de obra, en ---------</t>
  </si>
  <si>
    <t>Guardería Municipal Rayito de Luz-----------------------------------------------------------------------------</t>
  </si>
  <si>
    <t>OVIEDO JUAN JOSE</t>
  </si>
  <si>
    <t>actuar con su grupo musical “LOS CONTORES DEL ALBA ” POR 13000 PESOS  ------------------------------------</t>
  </si>
  <si>
    <t>AV BELGRANO</t>
  </si>
  <si>
    <t>actuar con su grupo musical “LA MONA TELLO ” POR 11000 PESOS  ------------------------------------</t>
  </si>
  <si>
    <t>MALDONADO JORGE ESTEBAN</t>
  </si>
  <si>
    <t>actuar con su grupo musical “ALKIMIA ” POR 2000 PESOS  ------------------------------------</t>
  </si>
  <si>
    <t>25 DE MAYO</t>
  </si>
  <si>
    <t>SAN NICOLAS</t>
  </si>
  <si>
    <t>trabajo de sonido en club atletito sacachispas por festejos del dia del niño ------------------------------</t>
  </si>
  <si>
    <t>el dia domingo 07/08/2016 -------------------------------------------------------------------------------------------------</t>
  </si>
  <si>
    <t>----------------------------------------------------------------------------------------------------------------------------------------</t>
  </si>
  <si>
    <t>---------------------------------------------------------------------------------------------------------------------------------------</t>
  </si>
  <si>
    <t>MATIAS ATAIDE VILCHES</t>
  </si>
  <si>
    <t>LEYRIA , CECILIA DEL VALLE</t>
  </si>
  <si>
    <t>confeccion de uniformes (6 remeras y 3 camperas femeninas) para personal de limpieza----------</t>
  </si>
  <si>
    <t>CALLE OSCURA</t>
  </si>
  <si>
    <t>con 9 (nueve)  impresiones del logo "Municipalidad de Villa de Las Rosas" ------------------------------</t>
  </si>
  <si>
    <t>se hizo cambio de 24 duplicado de llaves: 4 H.C.D, 9 Acción Social, 1 Hacienda, 10 Obras -------</t>
  </si>
  <si>
    <t>Públicas, y 1 cambio de cerradura en el C.C.I.Municipal.--------------------------------------------------</t>
  </si>
  <si>
    <t>construcción de 1200   mts2 a  ($50 el Mt2) de base  de hormigón elaborado en la calle Sierras---</t>
  </si>
  <si>
    <t>Grandes------------------------------------------------------------------------------------------------------------</t>
  </si>
  <si>
    <t xml:space="preserve">  desmonte y limpieza de la calle Pública desde lado sur de Cabañas Aravela y hasta --------------</t>
  </si>
  <si>
    <t>intersección calle de La Aguadita-------------------------------------------------------------------------------</t>
  </si>
  <si>
    <t xml:space="preserve"> material y mano  de obra, de 06 carteles viales a $150 c/u para Transito-------------------------------  </t>
  </si>
  <si>
    <t>armado de 2 tableros,colocación de termicas nuevas, y colocación de tomas en la Terminal de----</t>
  </si>
  <si>
    <t>Omnibús-----------------------------------------------------------------------------------------------------------</t>
  </si>
  <si>
    <t xml:space="preserve">colocación de cañería, cajas, cableado y artefactos electricos, 2 tableros,cable a tierra y jabalina  </t>
  </si>
  <si>
    <t>en el predio de la Camara Reductora  de gas natural-------------------------------------------------------</t>
  </si>
  <si>
    <t>Para la produccion de 15 cajones de Plantines a $250 c/u------------------------------------------------</t>
  </si>
  <si>
    <t>Loyola Hernan Ignacio del Valle</t>
  </si>
  <si>
    <t>para la elavoración  de 250 facturas para el Acto de 9 de Julio,145 kg de Pan para la --------------I</t>
  </si>
  <si>
    <t>Inauguración del Asfaltado de Las Chacras, 500 facturas para la Fiesta del Día del Niño------------</t>
  </si>
  <si>
    <t>Viejo Callejón Las Chacras</t>
  </si>
  <si>
    <t>reparación de cableado y conección de 5 tomas en el Dispensario Blas Capdevila-------------------</t>
  </si>
  <si>
    <t>Niña Rosita: reparación de perdida de corriente y cambio de portalamparas----------------------------</t>
  </si>
  <si>
    <t>Plazoleta Las Chacras:Instalación de reflector con fotocelula, conexión de y 5 farolas, Plazoleta---</t>
  </si>
  <si>
    <t>colocación de 4 pararayos, armado de tablero electrico monofasico,armado de casilla de ----------</t>
  </si>
  <si>
    <t>inspección de jabalina en la Camara Reductora de Gas Natural------------------------------------------</t>
  </si>
  <si>
    <t>Olmedo, Raúl alberto</t>
  </si>
  <si>
    <t>para la fabricación de 10 columnas de 3 mts de altura a $ 450 c/u destinado para el cerco --------</t>
  </si>
  <si>
    <t>perimetral del predio municipal---------------------------------------------------------------------------------</t>
  </si>
  <si>
    <t>72 horas trabajadas en tareas de transito  a($40 la hora)Mes de Agosto 2016--------------------------</t>
  </si>
  <si>
    <t>limpieza y pintura de ladrillos, canteros y rejas en la sede del nuevo Correo Argentino---------------</t>
  </si>
  <si>
    <t>material y mano de obra para la realización de 1 cartel de algarrobo "consejo Deliberante" y otro-</t>
  </si>
  <si>
    <t>cartel de algarrobo "Comercio e Industria"-------------------------------------------------------------------</t>
  </si>
  <si>
    <t>material y mano de obra para la realización de 6 carteles  viales de chapa a $50 c/u, y 1 cartel de</t>
  </si>
  <si>
    <t xml:space="preserve"> algarrobo con el nombre "Calle El Silvestre" a $ 150 para la Oficina de Tránsito----------------------</t>
  </si>
  <si>
    <t>tareas de transito : 115 horas extras normales por $40 la hora Mes de Agosto 2016 ------------------</t>
  </si>
  <si>
    <t>colocación de llave, cambio de lampara,y cable en Oficinas de la Ex Picardo--------------------------</t>
  </si>
  <si>
    <t>colocación de sonido en el Acto de Inauguración de la Sede del Correo Argentino día 05-09-16---</t>
  </si>
  <si>
    <t>provicion de 30mts3. de leña de algarrobo a $320 el metro3. para ser utilizados en eventos ------------</t>
  </si>
  <si>
    <t xml:space="preserve">el armado y barnizado de 10 tablones de 3mt de largo por 0,75 cm de ancho con patas rebatibles </t>
  </si>
  <si>
    <t>para el Polideportivo con fines de usos multiples-------------------------------------------------------------</t>
  </si>
  <si>
    <t>Los Espinillos de Villa de Las Rosas---------------------------------------------------------------------------</t>
  </si>
  <si>
    <t>construcción de 1186 mts lineales ($140 el Mt.lineal) de cordón cuneta en la calle Los Platanos y-</t>
  </si>
  <si>
    <t xml:space="preserve">Servcio de sonido por el monto de $ 4000 (pesos cuatro mil ) para Evento llevado a cabo el dia </t>
  </si>
  <si>
    <t>sabado 10 de septiembre  en colaboracion Aniversario Escuela Magadalena T. de Charles</t>
  </si>
  <si>
    <t>reparación de calesita del jardín de Infantes de La Escuela de Las Chacras---------------------------</t>
  </si>
  <si>
    <t>municipal-----------------------------------------------------------------------------------------------------------</t>
  </si>
  <si>
    <t>Limpieza y pintura de todos los canteros y macetones de la Municipalidad.Limpieza y pintura con-</t>
  </si>
  <si>
    <t>impregnante de ladrillos.Limpieza y plastificado de todas las lajas perimetrales del edificio --------</t>
  </si>
  <si>
    <t>para la fabricación de 15 columnas de 3 mts de altura a $ 500 c/u destinado para el cerco --------</t>
  </si>
  <si>
    <t>trabajo en radio comunitaria (400GB),limpieza de virus, cambio de ventilador de fuente, ------------</t>
  </si>
  <si>
    <t>configuración de impresora en coordinación-----------------------------------------------------------------</t>
  </si>
  <si>
    <t>66 horas trabajadas en tareas de transito  a($40 la hora ) Septiembre 2016-------------------------</t>
  </si>
  <si>
    <t xml:space="preserve"> 87 horas trabajadas en tareas de transito a ($40 la hora) Septiembre 2016----------------------------</t>
  </si>
  <si>
    <t>Unterthurner, Natalia</t>
  </si>
  <si>
    <t>Proyecto intervención Paseo Ntra. Sra. Del Carmen ex Predio Picardo---------------------------------</t>
  </si>
  <si>
    <t>colocación de 160 mts lineales de alambrado perimetral a $50 el mt. lineal en lote municipal--------</t>
  </si>
  <si>
    <t>Construcción de 60 mt2 de techo de madera (a $ 250 el mt.2), en la casa de Javier Oviedo --------</t>
  </si>
  <si>
    <t>(Ayuda Social)----------------------------------------------------------------------------------------------------</t>
  </si>
  <si>
    <t>Asesoramiento y control Instalación Gas Natural en la Escuela Magdalena T. de Charles-------------</t>
  </si>
  <si>
    <t>Gerchunoff</t>
  </si>
  <si>
    <t>Arañaraz, Ritto</t>
  </si>
  <si>
    <t>Conducción técnica construcción Paseo Ntra. Sra. Del Carmen ex Predio Picado--------------------</t>
  </si>
  <si>
    <t>pintura de 4 carteles viales "Prohibido Estacionar" a $200 c/u para Transito----------------------------</t>
  </si>
  <si>
    <t>Leal, Ruben Antonio</t>
  </si>
  <si>
    <t>construcción de 100 mts lineales de enrrejado en el Pasaje Ntra. Sra. Del Carmen-------------------</t>
  </si>
  <si>
    <t>Herrera, Mario Antonio</t>
  </si>
  <si>
    <t>mano de obra y material de 1 camara 17-5-25, y arreglo de 1 goma del acoplado municipal--------</t>
  </si>
  <si>
    <t>colocación de 4 tomas, colocación de 8 luminarias, en el Parador Los Molles--------------------------</t>
  </si>
  <si>
    <t>Britos Leonardo</t>
  </si>
  <si>
    <t>elaboración de 190 plantas de rosas en maceta a $50 c/u para espacios verdes----------------------</t>
  </si>
  <si>
    <t>Las Palomas</t>
  </si>
  <si>
    <t>La Veleta</t>
  </si>
  <si>
    <t>Bustos, Marcelo Adrian</t>
  </si>
  <si>
    <t>pintar el frente y 1 columna interna de la Capilla Ntra. Sra. De Fatima del Alto Resbaloso------------</t>
  </si>
  <si>
    <t>Zoilo Acosta</t>
  </si>
  <si>
    <t>construcción de 38 mts.lineales de vadén en la futura calle en el predio de la Ex Picardo a $140---</t>
  </si>
  <si>
    <t>el mt. lineal---------------------------------------------------------------------------------------------------------</t>
  </si>
  <si>
    <t>Numero Musical en Evento - Inauguracion Asfalto Las Rosas - Los Molles-------------------------------</t>
  </si>
  <si>
    <t>Conjunto Los Kiskaludos----------------------------------------------------------------------------------------------------</t>
  </si>
  <si>
    <t>Escudero, Eduardo</t>
  </si>
  <si>
    <t>instalación y toma corriente y cambio de 3 tubos en el Jardín de Infantes Escuela M. T. de --------</t>
  </si>
  <si>
    <t>Charles por la suma de $300 (pesos trescientos)-------------------------------------------------------------</t>
  </si>
  <si>
    <t>en Plazoleta San Miguel 1 cambio de fotocelula $200----------------------------------------------------------------------------</t>
  </si>
  <si>
    <t xml:space="preserve">cambio de lamparas y  arreglo de perdida de energía electrica en la Plazoleta Niña Rosita $600 y </t>
  </si>
  <si>
    <t>instalación tetrapolar en la Entrada del predio de la Ex Picardo-------------------------------------------</t>
  </si>
  <si>
    <t>limpieza y mantenimiento en el balneario y camping guasmara (16 horas) a $50 la hora,Días-------</t>
  </si>
  <si>
    <t>trabajados 26,27, y 28 de Noviembre 2016-------------------------------------------------------------------</t>
  </si>
  <si>
    <t>provisión de 36 viajes de tierra a $400 c/u destinados arreglo de calles en el ejido municipal de ----</t>
  </si>
  <si>
    <t>colocación de 5 tortugas, cambio de 8 enchufes,colocación de nueva linea electrica con 2 --------</t>
  </si>
  <si>
    <t>tortugas y 2 tomas y cambio de llave termica en el Camping y Balneario Guasmara------------------</t>
  </si>
  <si>
    <t>para la elavoración  de 112 kg de Pan a $16 el Kg. para la Inauguración Parador Turistico en ----</t>
  </si>
  <si>
    <t>Los Molles día 19 de Noviembre de 2016---------------------------------------------------------------------</t>
  </si>
  <si>
    <t>106 horas trabajadas en tareas de transito  a($50 la hora) Mes de Noviembre 2016-------------------</t>
  </si>
  <si>
    <t>100 horas de tareas de transito a $ 50 la hora Mes de Noviembre 2016---------------------------------</t>
  </si>
  <si>
    <t>bobinado de motor de la maquina hormigonera de la Municipalidad V. de Las Rosas-----------------</t>
  </si>
  <si>
    <t>Rivarola, Carlos Alberto</t>
  </si>
  <si>
    <t>Fernandez, Carlos Osmar</t>
  </si>
  <si>
    <t>Av. Santa Ana</t>
  </si>
  <si>
    <t>B° 20 de Junio</t>
  </si>
  <si>
    <t>2/12/2016</t>
  </si>
  <si>
    <t>Reparacion y Pintura completa del tanque de agua y toda su estructura del predio del salon-------</t>
  </si>
  <si>
    <t>Ex Picardo-------------------------------------------------------------------------------------------------------------------------</t>
  </si>
  <si>
    <t>elaboracion de 1720 ladrillos de tabique de 12x18x33 a $8,50 c/u y 105 ladrillos de 18x18x33 a $--</t>
  </si>
  <si>
    <t>10,50 c/u destinado a Ayuda Social---------------------------------------------------------------------------</t>
  </si>
  <si>
    <t>perimetral del Camping Guasmara-----------------------------------------------------------------------------</t>
  </si>
  <si>
    <t>limpieza y mantenimiento en el balneario y camping guasmara (18 horas) a $50 la hora,Días-------</t>
  </si>
  <si>
    <t>trabajados 02 y 03 de diciembre de 2016---------------------------------------------------------------------</t>
  </si>
  <si>
    <t xml:space="preserve">2 camaras 900x20 $1200,2 desarme y armado $400 Ford Cargo, 1 Arreglo goma Peugeot 60, 1 </t>
  </si>
  <si>
    <t>arreglo Moto-Niveladora $700,1 arreglo  goma Niveladora $ 120, 1 Arreglo goma Zanello $120, 1     arreglo goma de ----</t>
  </si>
  <si>
    <t>arreglo de goma Saveiro $ 60, vehiculos municipales</t>
  </si>
  <si>
    <t>armado de tablero electrico con colocacion de jabalina, 3 colocación de tomas corriente en el-----</t>
  </si>
  <si>
    <t>deposito,1 colocación de disyuntor  para la bomba tobogan, 2 cambios de llave en el baño,1 co---</t>
  </si>
  <si>
    <t>locación de foto control en el balneario y Camping Guasmara---------------------------------------------</t>
  </si>
  <si>
    <t>Sonido en la Fiesta de Cierre Lectivo en la Escuela Niñas de Ayohuma en los Pozos el 12-12-16-</t>
  </si>
  <si>
    <t>Molina Sergio Andres</t>
  </si>
  <si>
    <t>corte de una viga de algarrobo que se obtuvieron 6 tablones----------------------------------------------</t>
  </si>
  <si>
    <t>Schneider, Mayra Alexandra</t>
  </si>
  <si>
    <t>70 ( Setenta ) Moviles y 20 (Veinte) Portaretratos para souveniers que se entregan a cada --------</t>
  </si>
  <si>
    <t>egreasado en el acato de fin de año del C.C.I Rayito de Luz----------------------------------------------------</t>
  </si>
  <si>
    <t>Rua 14</t>
  </si>
  <si>
    <t>Perez, Bruno Nahuel</t>
  </si>
  <si>
    <t>la realizacion de 11 (once) certificados para los egresados del C.C.I Rayito de Luz-------------------</t>
  </si>
  <si>
    <t>------------------------------------------------------------------------------------------------------------------------------------------</t>
  </si>
  <si>
    <t xml:space="preserve">Actuacion de Apoyo Festival Del Algarrobo en la Localidad de Las Toscas el dia domingo </t>
  </si>
  <si>
    <t>11/12/2016-------------------------------------------------------------------------------------------------------------------------</t>
  </si>
  <si>
    <t>-------------------------------------------------------------------------------------------------------------------------------------</t>
  </si>
  <si>
    <t>Las Achiras</t>
  </si>
  <si>
    <t>Lucero Victor Hugo</t>
  </si>
  <si>
    <t>arreglo heladera vitrina mostrador: carga de refrigerante,arreglo puerta izquierda, y una elice $---</t>
  </si>
  <si>
    <t>1500, arreglo heladera de 4 puertas;motor nuevo se coloco, 1 forzador de aire,se cargo gas y se-</t>
  </si>
  <si>
    <t>coloco filtro  $6000, en la Proveeduría del Balneario Guasmara-------------------------------------------</t>
  </si>
  <si>
    <t>construcción de 6 tarimas a $300 c/u para la base de los freezer y 4 caballetes de madera---------</t>
  </si>
  <si>
    <t xml:space="preserve">  para los mesones  a $100 c/u  para el Polideportivo Municipal------------------------------------------</t>
  </si>
  <si>
    <t>3 lavados Fiat Ducato (Transporte especial) Desarrollo Social a $ 460 c/u------------------------------</t>
  </si>
  <si>
    <t>reparación de 2 reflectores de 150 w, 1 cambio equipo de 40 w,1 cambio de un portalampara y---</t>
  </si>
  <si>
    <t>5 lamparas, y cambio de una fotocelula en la Escuela  Primaria de Los Molles------------------------</t>
  </si>
  <si>
    <t>cambio de 2 equipos de 40w, 1 instalación de una toma, reparación de cables, Escuela Niñas de-</t>
  </si>
  <si>
    <t>Ayohuma de Los Pozos------------------------------------------------------------------------------------------</t>
  </si>
  <si>
    <t>armado del arbol Navideño en la Plaza Gral. San Martín---------------------------------------------------</t>
  </si>
  <si>
    <t>instalación de 10 farolas dobles a $600 c/u, 40 luminarias a $400c/u, instalación de 2 tableros-----</t>
  </si>
  <si>
    <t>$2000 c/u, en Pasaje Ntra Sra del Carmen-------------------------------------------------------------------</t>
  </si>
  <si>
    <t>sonido e iluminación en la Escuela Esteban Echeverria de Las Chacras día 14-12-16.Acto de Fin-</t>
  </si>
  <si>
    <t>Año Cierre escolar------------------------------------------------------------------------------------------------</t>
  </si>
  <si>
    <t>Sonido e Iluminacion en Acto de cierre de ciclo de Guarderia Municipal----------------------------</t>
  </si>
  <si>
    <t>Leandro Matias, Cosentino</t>
  </si>
  <si>
    <t>Espectaculo de Payasos en Acto de cierre de ciclo de Guarderia Municipal---------------------------</t>
  </si>
  <si>
    <t>-------------------------------------------------------------------------------------------------------------------------------------------</t>
  </si>
  <si>
    <t xml:space="preserve">S/N </t>
  </si>
  <si>
    <t>Villa dde las Rosas</t>
  </si>
  <si>
    <t>colocación de 4 reflectores, colocación de 3 toma corriente,colocación disyuntor,colocación de --</t>
  </si>
  <si>
    <t>girnaldas en el Jardín de Infantes de Las Chacras----------------------------------------------------------</t>
  </si>
  <si>
    <t>Proyecto remodelación y ampliación, Salón Comunitario Nuevo Sol, Alto Resbaloso------------------</t>
  </si>
  <si>
    <t>de Villa de Las Rosas--------------------------------------------------------------------------------------------</t>
  </si>
  <si>
    <t>construcción de 134 mt2 de muro de ladrillon visto rasado a $180 el mt2, 20mt liniales de-----------</t>
  </si>
  <si>
    <t>columnas a $90 el mt linial y 55mt liniales de capa aisladora a $65 mt linial en la casa de-------------</t>
  </si>
  <si>
    <t>Luciana Montenegro (Ayuda Social)---------------------------------------------------------------------------</t>
  </si>
  <si>
    <t>construcción de 100 mts2 de hormigón de 20 cm de alto a $450 mt2 en el vado del arroyo del----- Carmen-------------------</t>
  </si>
  <si>
    <t>Parador El Valle---------------------------------------------------------------------------------------------------</t>
  </si>
  <si>
    <t>Fernandez Victor David</t>
  </si>
  <si>
    <t>la construcción de 83 mt2 a $600 mt2 de muro de piedra vista, en el Pasaje Ntra Sra del------------</t>
  </si>
  <si>
    <t>Carmen de Villa de Las Rosas----------------------------------------------------------------------------------</t>
  </si>
  <si>
    <t xml:space="preserve">Los Zorzales </t>
  </si>
  <si>
    <t>elavoración de 8000 ladrillos vistos a $2.500 el mil de ladrillo visto .Ayuda Social----------------------</t>
  </si>
  <si>
    <t>elaboracion de 1500 ladrillos de tabique de 12x18x33 a $8,50 c/u y 1500 ladrillos de 18x18x33 a --</t>
  </si>
  <si>
    <t>$10,50 c/u destinado a Ayuda Social---------------------------------------------------------------------------</t>
  </si>
  <si>
    <t>Maldonado, Jorge Esteban</t>
  </si>
  <si>
    <t>Actuacion de Grupo Alkimia en Evento del Nuevo Salon Comunitario del Alto Resbaloso---------</t>
  </si>
  <si>
    <t>------------------------------------------------------------------------------------------------------------------------------------</t>
  </si>
  <si>
    <t>----------------------------------------------------------------------------------------------------------------------------------</t>
  </si>
  <si>
    <t>elaboración de 342 plantas de rosas en maceta a $50 c/u para espacios verdes----------------------</t>
  </si>
  <si>
    <t>Tareas de Transito: 62 hs a $50 cada hora,  Mes de Diciembre de 2016--------------------------------</t>
  </si>
  <si>
    <t xml:space="preserve">reparación de cables de deposito y baño, y cambio de linias electricas,  en el Balneario y---------- </t>
  </si>
  <si>
    <t>Camping Guasmara-----------------------------------------------------------------------------------------------</t>
  </si>
  <si>
    <t xml:space="preserve"> Colocación de 6 tomas nuevas,cambio de termica de una bomba,armado de tablero,----------------</t>
  </si>
  <si>
    <t>128 horas de tareas de transito a $ 50 la hora Mes de Diciembre 2016---------------------------------</t>
  </si>
  <si>
    <t>Sereno del Balneario y Camping Guasmara en el mes de Diciembre 2016---------------------------------</t>
  </si>
  <si>
    <t>limpieza y mantenimiento en el balneario y camping guasmara (178 horas) a $50 la hora 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</si>
</sst>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* #,##0.00\ &quot;€&quot;_-;\-* #,##0.00\ &quot;€&quot;_-;_-* &quot;-&quot;??\ &quot;€&quot;_-;_-@_-"/>
    <numFmt numFmtId="164" formatCode="&quot;$&quot;\ #,##0;[Red]&quot;$&quot;\ \-#,##0"/>
    <numFmt numFmtId="165" formatCode="_ [$$-2C0A]\ * #,##0.00_ ;_ [$$-2C0A]\ * \-#,##0.00_ ;_ [$$-2C0A]\ * &quot;-&quot;??_ ;_ @_ "/>
    <numFmt numFmtId="166" formatCode="_ [$$-2C0A]\ * #,##0.\ ;_ [$$-2C0A]\ * \-#,##0.\ ;_ [$$-2C0A]\ * &quot;-&quot;_ ;_ @_ "/>
    <numFmt numFmtId="167" formatCode="&quot;los&quot;\ dd\ &quot;días del mes de&quot;\ mmmm\ &quot;de&quot;\ yyyy"/>
    <numFmt numFmtId="168" formatCode="[$$-2C0A]\ #,##0.00"/>
    <numFmt numFmtId="169" formatCode="_-[$$-340A]\ * #,##0.00_-;\-[$$-340A]\ * #,##0.00_-;_-[$$-340A]\ * &quot;-&quot;??_-;_-@_-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Segoe UI"/>
      <family val="2"/>
    </font>
    <font>
      <b/>
      <sz val="14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0"/>
      <name val="Segoe UI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Segoe UI"/>
      <family val="2"/>
    </font>
    <font>
      <i/>
      <sz val="10"/>
      <name val="Segoe UI"/>
      <family val="2"/>
    </font>
    <font>
      <sz val="14"/>
      <name val="Times New Roman"/>
      <family val="1"/>
    </font>
    <font>
      <b/>
      <sz val="9"/>
      <name val="Segoe UI"/>
      <family val="2"/>
    </font>
    <font>
      <b/>
      <sz val="8"/>
      <name val="Segoe UI"/>
      <family val="2"/>
    </font>
    <font>
      <b/>
      <sz val="10"/>
      <color rgb="FFFF0000"/>
      <name val="Segoe UI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3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31"/>
        <bgColor rgb="FFFFFF00"/>
      </patternFill>
    </fill>
    <fill>
      <patternFill patternType="solid">
        <fgColor rgb="FFFFFF00"/>
        <bgColor indexed="64"/>
      </patternFill>
    </fill>
    <fill>
      <patternFill patternType="lightUp">
        <fgColor indexed="31"/>
        <bgColor theme="0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6">
    <xf numFmtId="0" fontId="0" fillId="0" borderId="0" xfId="0"/>
    <xf numFmtId="0" fontId="3" fillId="0" borderId="0" xfId="0" applyNumberFormat="1" applyFont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/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9" fillId="0" borderId="0" xfId="0" applyFont="1" applyBorder="1"/>
    <xf numFmtId="0" fontId="9" fillId="0" borderId="0" xfId="0" applyFont="1" applyFill="1" applyBorder="1"/>
    <xf numFmtId="0" fontId="9" fillId="0" borderId="0" xfId="0" applyFont="1" applyAlignment="1">
      <alignment vertical="center"/>
    </xf>
    <xf numFmtId="0" fontId="8" fillId="3" borderId="2" xfId="0" applyFont="1" applyFill="1" applyBorder="1"/>
    <xf numFmtId="0" fontId="8" fillId="2" borderId="2" xfId="0" applyFont="1" applyFill="1" applyBorder="1"/>
    <xf numFmtId="0" fontId="8" fillId="4" borderId="2" xfId="0" applyFont="1" applyFill="1" applyBorder="1"/>
    <xf numFmtId="3" fontId="8" fillId="0" borderId="2" xfId="0" applyNumberFormat="1" applyFont="1" applyBorder="1"/>
    <xf numFmtId="0" fontId="8" fillId="0" borderId="2" xfId="0" applyFont="1" applyFill="1" applyBorder="1"/>
    <xf numFmtId="0" fontId="8" fillId="0" borderId="2" xfId="0" applyFont="1" applyFill="1" applyBorder="1" applyAlignment="1">
      <alignment horizontal="left"/>
    </xf>
    <xf numFmtId="3" fontId="8" fillId="0" borderId="2" xfId="0" applyNumberFormat="1" applyFont="1" applyFill="1" applyBorder="1"/>
    <xf numFmtId="3" fontId="8" fillId="4" borderId="2" xfId="0" applyNumberFormat="1" applyFont="1" applyFill="1" applyBorder="1"/>
    <xf numFmtId="0" fontId="8" fillId="5" borderId="2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2" borderId="0" xfId="0" applyFont="1" applyFill="1"/>
    <xf numFmtId="0" fontId="8" fillId="0" borderId="2" xfId="0" applyFont="1" applyBorder="1"/>
    <xf numFmtId="0" fontId="8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vertical="center" wrapText="1" readingOrder="1"/>
    </xf>
    <xf numFmtId="0" fontId="8" fillId="0" borderId="2" xfId="0" applyFont="1" applyBorder="1" applyAlignment="1">
      <alignment horizontal="center"/>
    </xf>
    <xf numFmtId="0" fontId="8" fillId="7" borderId="2" xfId="0" applyFont="1" applyFill="1" applyBorder="1"/>
    <xf numFmtId="0" fontId="1" fillId="0" borderId="0" xfId="0" applyFont="1"/>
    <xf numFmtId="0" fontId="1" fillId="0" borderId="0" xfId="0" applyFont="1" applyAlignment="1">
      <alignment wrapText="1" shrinkToFit="1"/>
    </xf>
    <xf numFmtId="168" fontId="8" fillId="2" borderId="2" xfId="0" applyNumberFormat="1" applyFont="1" applyFill="1" applyBorder="1" applyAlignment="1">
      <alignment horizontal="right"/>
    </xf>
    <xf numFmtId="0" fontId="7" fillId="0" borderId="0" xfId="0" applyFont="1" applyAlignment="1">
      <alignment horizontal="right" vertical="center" readingOrder="1"/>
    </xf>
    <xf numFmtId="0" fontId="5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8" fillId="7" borderId="3" xfId="0" applyFont="1" applyFill="1" applyBorder="1"/>
    <xf numFmtId="3" fontId="8" fillId="0" borderId="3" xfId="0" applyNumberFormat="1" applyFont="1" applyFill="1" applyBorder="1"/>
    <xf numFmtId="0" fontId="1" fillId="0" borderId="0" xfId="0" applyFont="1" applyFill="1" applyBorder="1" applyAlignment="1">
      <alignment wrapText="1" shrinkToFit="1"/>
    </xf>
    <xf numFmtId="0" fontId="1" fillId="0" borderId="0" xfId="0" quotePrefix="1" applyFont="1" applyAlignment="1">
      <alignment wrapText="1" shrinkToFit="1"/>
    </xf>
    <xf numFmtId="168" fontId="8" fillId="2" borderId="3" xfId="0" applyNumberFormat="1" applyFont="1" applyFill="1" applyBorder="1" applyAlignment="1">
      <alignment horizontal="right"/>
    </xf>
    <xf numFmtId="168" fontId="0" fillId="0" borderId="0" xfId="0" applyNumberFormat="1"/>
    <xf numFmtId="168" fontId="8" fillId="0" borderId="0" xfId="0" applyNumberFormat="1" applyFont="1"/>
    <xf numFmtId="166" fontId="7" fillId="6" borderId="0" xfId="0" applyNumberFormat="1" applyFont="1" applyFill="1" applyBorder="1" applyAlignment="1">
      <alignment horizontal="left" vertical="center"/>
    </xf>
    <xf numFmtId="0" fontId="7" fillId="0" borderId="0" xfId="0" applyFont="1" applyAlignment="1">
      <alignment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168" fontId="1" fillId="0" borderId="0" xfId="0" quotePrefix="1" applyNumberFormat="1" applyFont="1" applyAlignment="1">
      <alignment wrapText="1" shrinkToFit="1"/>
    </xf>
    <xf numFmtId="3" fontId="8" fillId="0" borderId="4" xfId="0" applyNumberFormat="1" applyFont="1" applyFill="1" applyBorder="1"/>
    <xf numFmtId="0" fontId="1" fillId="0" borderId="0" xfId="0" quotePrefix="1" applyFont="1"/>
    <xf numFmtId="0" fontId="0" fillId="0" borderId="0" xfId="0" quotePrefix="1"/>
    <xf numFmtId="164" fontId="0" fillId="0" borderId="0" xfId="0" applyNumberFormat="1" applyAlignment="1">
      <alignment vertical="top"/>
    </xf>
    <xf numFmtId="0" fontId="0" fillId="0" borderId="0" xfId="0" quotePrefix="1" applyAlignment="1">
      <alignment vertical="center"/>
    </xf>
    <xf numFmtId="14" fontId="0" fillId="0" borderId="0" xfId="0" applyNumberFormat="1"/>
    <xf numFmtId="14" fontId="8" fillId="0" borderId="0" xfId="0" applyNumberFormat="1" applyFont="1"/>
    <xf numFmtId="0" fontId="7" fillId="0" borderId="0" xfId="0" applyFont="1" applyAlignment="1">
      <alignment horizontal="distributed" vertical="center" wrapText="1" readingOrder="1"/>
    </xf>
    <xf numFmtId="168" fontId="1" fillId="0" borderId="0" xfId="0" applyNumberFormat="1" applyFont="1"/>
    <xf numFmtId="168" fontId="0" fillId="0" borderId="0" xfId="0" applyNumberFormat="1" applyFill="1" applyBorder="1"/>
    <xf numFmtId="0" fontId="8" fillId="0" borderId="0" xfId="0" applyFont="1" applyFill="1" applyBorder="1"/>
    <xf numFmtId="3" fontId="17" fillId="0" borderId="3" xfId="0" applyNumberFormat="1" applyFont="1" applyFill="1" applyBorder="1"/>
    <xf numFmtId="3" fontId="8" fillId="0" borderId="0" xfId="0" quotePrefix="1" applyNumberFormat="1" applyFont="1" applyFill="1" applyBorder="1"/>
    <xf numFmtId="0" fontId="2" fillId="0" borderId="0" xfId="0" applyFont="1" applyAlignment="1">
      <alignment wrapText="1" shrinkToFit="1"/>
    </xf>
    <xf numFmtId="0" fontId="18" fillId="0" borderId="0" xfId="0" applyFont="1" applyFill="1" applyBorder="1" applyAlignment="1">
      <alignment wrapText="1" shrinkToFit="1"/>
    </xf>
    <xf numFmtId="0" fontId="8" fillId="7" borderId="0" xfId="0" applyFont="1" applyFill="1" applyBorder="1"/>
    <xf numFmtId="1" fontId="1" fillId="0" borderId="0" xfId="0" applyNumberFormat="1" applyFont="1"/>
    <xf numFmtId="14" fontId="1" fillId="0" borderId="0" xfId="0" applyNumberFormat="1" applyFont="1"/>
    <xf numFmtId="3" fontId="8" fillId="7" borderId="2" xfId="0" applyNumberFormat="1" applyFont="1" applyFill="1" applyBorder="1"/>
    <xf numFmtId="168" fontId="8" fillId="7" borderId="2" xfId="0" applyNumberFormat="1" applyFont="1" applyFill="1" applyBorder="1" applyAlignment="1">
      <alignment horizontal="right"/>
    </xf>
    <xf numFmtId="0" fontId="1" fillId="7" borderId="0" xfId="0" applyFont="1" applyFill="1" applyAlignment="1">
      <alignment wrapText="1" shrinkToFit="1"/>
    </xf>
    <xf numFmtId="0" fontId="1" fillId="7" borderId="0" xfId="0" applyFont="1" applyFill="1"/>
    <xf numFmtId="0" fontId="0" fillId="7" borderId="0" xfId="0" applyFill="1"/>
    <xf numFmtId="14" fontId="0" fillId="7" borderId="0" xfId="0" applyNumberFormat="1" applyFill="1"/>
    <xf numFmtId="168" fontId="0" fillId="7" borderId="0" xfId="0" applyNumberFormat="1" applyFill="1"/>
    <xf numFmtId="0" fontId="1" fillId="7" borderId="0" xfId="0" applyFont="1" applyFill="1" applyBorder="1" applyAlignment="1">
      <alignment wrapText="1" shrinkToFit="1"/>
    </xf>
    <xf numFmtId="0" fontId="0" fillId="7" borderId="0" xfId="0" quotePrefix="1" applyFill="1"/>
    <xf numFmtId="0" fontId="1" fillId="7" borderId="0" xfId="0" quotePrefix="1" applyFont="1" applyFill="1"/>
    <xf numFmtId="0" fontId="0" fillId="7" borderId="0" xfId="0" applyFont="1" applyFill="1"/>
    <xf numFmtId="0" fontId="2" fillId="0" borderId="0" xfId="0" applyFont="1"/>
    <xf numFmtId="0" fontId="2" fillId="0" borderId="0" xfId="0" quotePrefix="1" applyFont="1"/>
    <xf numFmtId="0" fontId="0" fillId="0" borderId="0" xfId="0" quotePrefix="1" applyFont="1"/>
    <xf numFmtId="3" fontId="8" fillId="0" borderId="0" xfId="0" applyNumberFormat="1" applyFont="1"/>
    <xf numFmtId="164" fontId="8" fillId="0" borderId="0" xfId="0" applyNumberFormat="1" applyFont="1"/>
    <xf numFmtId="3" fontId="19" fillId="0" borderId="0" xfId="0" applyNumberFormat="1" applyFont="1"/>
    <xf numFmtId="3" fontId="8" fillId="0" borderId="0" xfId="0" applyNumberFormat="1" applyFont="1" applyFill="1" applyBorder="1"/>
    <xf numFmtId="3" fontId="8" fillId="7" borderId="0" xfId="0" applyNumberFormat="1" applyFont="1" applyFill="1"/>
    <xf numFmtId="3" fontId="8" fillId="7" borderId="0" xfId="0" applyNumberFormat="1" applyFont="1" applyFill="1" applyBorder="1"/>
    <xf numFmtId="168" fontId="1" fillId="0" borderId="0" xfId="0" applyNumberFormat="1" applyFont="1" applyAlignment="1">
      <alignment wrapText="1" shrinkToFit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horizontal="distributed" vertical="center" readingOrder="1"/>
    </xf>
    <xf numFmtId="168" fontId="0" fillId="0" borderId="0" xfId="0" quotePrefix="1" applyNumberFormat="1"/>
    <xf numFmtId="14" fontId="0" fillId="0" borderId="0" xfId="0" quotePrefix="1" applyNumberFormat="1"/>
    <xf numFmtId="0" fontId="14" fillId="6" borderId="0" xfId="1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left" vertical="center" readingOrder="1"/>
    </xf>
    <xf numFmtId="3" fontId="11" fillId="6" borderId="0" xfId="1" applyNumberFormat="1" applyFont="1" applyFill="1" applyBorder="1" applyAlignment="1">
      <alignment horizontal="center" vertical="center"/>
    </xf>
    <xf numFmtId="0" fontId="11" fillId="6" borderId="0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distributed" vertical="center" wrapText="1" readingOrder="1"/>
    </xf>
    <xf numFmtId="165" fontId="11" fillId="6" borderId="0" xfId="1" applyNumberFormat="1" applyFont="1" applyFill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7" fontId="15" fillId="6" borderId="0" xfId="1" applyNumberFormat="1" applyFont="1" applyFill="1" applyBorder="1" applyAlignment="1">
      <alignment horizontal="center" vertical="top"/>
    </xf>
    <xf numFmtId="0" fontId="7" fillId="8" borderId="0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 readingOrder="1"/>
    </xf>
    <xf numFmtId="0" fontId="15" fillId="6" borderId="0" xfId="1" applyNumberFormat="1" applyFont="1" applyFill="1" applyBorder="1" applyAlignment="1">
      <alignment horizontal="center" vertical="center"/>
    </xf>
    <xf numFmtId="169" fontId="14" fillId="6" borderId="0" xfId="1" applyNumberFormat="1" applyFont="1" applyFill="1" applyBorder="1" applyAlignment="1">
      <alignment horizontal="center" vertical="top" wrapText="1"/>
    </xf>
    <xf numFmtId="0" fontId="7" fillId="0" borderId="0" xfId="0" applyFont="1" applyAlignment="1">
      <alignment horizontal="center" vertical="center" wrapText="1" readingOrder="1"/>
    </xf>
    <xf numFmtId="165" fontId="11" fillId="6" borderId="0" xfId="1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 wrapText="1" readingOrder="1"/>
    </xf>
    <xf numFmtId="1" fontId="16" fillId="0" borderId="0" xfId="0" applyNumberFormat="1" applyFont="1" applyAlignment="1">
      <alignment horizontal="center" vertical="center" wrapText="1" readingOrder="1"/>
    </xf>
    <xf numFmtId="0" fontId="7" fillId="0" borderId="0" xfId="0" applyFont="1" applyAlignment="1">
      <alignment vertical="center" wrapText="1" readingOrder="1"/>
    </xf>
    <xf numFmtId="14" fontId="14" fillId="6" borderId="0" xfId="1" applyNumberFormat="1" applyFont="1" applyFill="1" applyBorder="1" applyAlignment="1">
      <alignment horizontal="center" vertical="top" wrapText="1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&#241;o%202013/ASISTENCIA%20PERSONAL/FEBRERO%202013/FEBRERO%20201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co"/>
      <sheetName val="Permanentes"/>
      <sheetName val="Contratados"/>
      <sheetName val="PEL"/>
      <sheetName val="Hoja1"/>
      <sheetName val="CARGARNOVEDADES"/>
      <sheetName val="Hoja2"/>
      <sheetName val="ADELANTOS"/>
      <sheetName val="Concejales"/>
      <sheetName val="PRESTAMOS S"/>
      <sheetName val="FEDERACION"/>
      <sheetName val="SITRAM"/>
      <sheetName val="Asiento"/>
      <sheetName val="CUADRO DE MANDO"/>
      <sheetName val="ASIGNACIONES FAMILIARES "/>
      <sheetName val="CALCULO ART "/>
      <sheetName val="Hoja3"/>
    </sheetNames>
    <sheetDataSet>
      <sheetData sheetId="0"/>
      <sheetData sheetId="1"/>
      <sheetData sheetId="2">
        <row r="1">
          <cell r="A1" t="str">
            <v>Apellido y Nombres</v>
          </cell>
        </row>
        <row r="2">
          <cell r="A2" t="str">
            <v>Zapata, Eliana Gisela</v>
          </cell>
        </row>
        <row r="3">
          <cell r="A3" t="str">
            <v>Vergara, Lilia Ines</v>
          </cell>
        </row>
        <row r="4">
          <cell r="A4" t="str">
            <v>Totales</v>
          </cell>
        </row>
        <row r="5">
          <cell r="A5" t="str">
            <v>Tapia, Omar</v>
          </cell>
        </row>
        <row r="6">
          <cell r="A6" t="str">
            <v>Sosa, María Alejandra</v>
          </cell>
        </row>
        <row r="7">
          <cell r="A7" t="str">
            <v>Sosa, Claudia Marta</v>
          </cell>
        </row>
        <row r="8">
          <cell r="A8" t="str">
            <v>Santillán, José</v>
          </cell>
        </row>
        <row r="9">
          <cell r="A9" t="str">
            <v>Sanchez, Carlos Adan</v>
          </cell>
        </row>
        <row r="10">
          <cell r="A10" t="str">
            <v>Sallefranque, Gladis</v>
          </cell>
        </row>
        <row r="11">
          <cell r="A11" t="str">
            <v>Ruiz Barruti, Princesa</v>
          </cell>
        </row>
        <row r="12">
          <cell r="A12" t="str">
            <v>Romero, Raquel</v>
          </cell>
        </row>
        <row r="13">
          <cell r="A13" t="str">
            <v>Romero, Mónica</v>
          </cell>
        </row>
        <row r="14">
          <cell r="A14" t="str">
            <v>Rodriguez, Mario Horacio</v>
          </cell>
        </row>
        <row r="15">
          <cell r="A15" t="str">
            <v>Rébora, Enrique Facundo</v>
          </cell>
        </row>
        <row r="16">
          <cell r="A16" t="str">
            <v>Ramirez, Luis</v>
          </cell>
        </row>
        <row r="17">
          <cell r="A17" t="str">
            <v>Ramirez, Facundo</v>
          </cell>
        </row>
        <row r="18">
          <cell r="A18" t="str">
            <v>Ramirez, Domingo Alberto</v>
          </cell>
        </row>
        <row r="19">
          <cell r="A19" t="str">
            <v>Ramirez, Diego Alberto</v>
          </cell>
        </row>
        <row r="20">
          <cell r="A20" t="str">
            <v>Ramirez, Adrian</v>
          </cell>
        </row>
        <row r="21">
          <cell r="A21" t="str">
            <v>Perez, Miriam Natalia</v>
          </cell>
        </row>
        <row r="22">
          <cell r="A22" t="str">
            <v>Perez, Matías</v>
          </cell>
        </row>
        <row r="23">
          <cell r="A23" t="str">
            <v>Perez, Erica Soledad</v>
          </cell>
        </row>
        <row r="24">
          <cell r="A24" t="str">
            <v>Pereyra Varas, Maria Celeste</v>
          </cell>
        </row>
        <row r="25">
          <cell r="A25" t="str">
            <v>Oviedo, Teresita</v>
          </cell>
        </row>
        <row r="26">
          <cell r="A26" t="str">
            <v>Oviedo, Pablo</v>
          </cell>
        </row>
        <row r="27">
          <cell r="A27" t="str">
            <v>ORTIZ, Carolina Cecilia del Rosario</v>
          </cell>
        </row>
        <row r="28">
          <cell r="A28" t="str">
            <v>Ortega, Matias Ezequiel</v>
          </cell>
        </row>
        <row r="29">
          <cell r="A29" t="str">
            <v>Ortega, Jorge Enrique</v>
          </cell>
        </row>
        <row r="30">
          <cell r="A30" t="str">
            <v>Olmedo, Mónica</v>
          </cell>
        </row>
        <row r="31">
          <cell r="A31" t="str">
            <v>Olmedo, Gabriela</v>
          </cell>
        </row>
        <row r="32">
          <cell r="A32" t="str">
            <v>Olmedo, Ariana Noelia</v>
          </cell>
        </row>
        <row r="33">
          <cell r="A33" t="str">
            <v>Olmedo, Alberto</v>
          </cell>
        </row>
        <row r="34">
          <cell r="A34" t="str">
            <v>Oliva, Laura Inés</v>
          </cell>
        </row>
        <row r="35">
          <cell r="A35" t="str">
            <v>Oliva, Guillermo</v>
          </cell>
        </row>
        <row r="36">
          <cell r="A36" t="str">
            <v>Muñoz, Susana Raquel</v>
          </cell>
        </row>
        <row r="37">
          <cell r="A37" t="str">
            <v>Mores, Nelson Exequiel</v>
          </cell>
        </row>
        <row r="38">
          <cell r="A38" t="str">
            <v>Montenegro, Luciana</v>
          </cell>
        </row>
        <row r="39">
          <cell r="A39" t="str">
            <v>Molina, Julio</v>
          </cell>
        </row>
        <row r="40">
          <cell r="A40" t="str">
            <v>Molina, Aldo</v>
          </cell>
        </row>
        <row r="41">
          <cell r="A41" t="str">
            <v>Manzone, Adrian Marcelo</v>
          </cell>
        </row>
        <row r="42">
          <cell r="A42" t="str">
            <v>Mancera, Maximiliano</v>
          </cell>
        </row>
        <row r="43">
          <cell r="A43" t="str">
            <v>López, Verónica Patricia</v>
          </cell>
        </row>
        <row r="44">
          <cell r="A44" t="str">
            <v>Ligorria, Claudia</v>
          </cell>
        </row>
        <row r="45">
          <cell r="A45" t="str">
            <v>Ligorria, Alejandro</v>
          </cell>
        </row>
        <row r="46">
          <cell r="A46" t="str">
            <v>Leyría, Rosario</v>
          </cell>
        </row>
        <row r="47">
          <cell r="A47" t="str">
            <v>Iriarte, Raul</v>
          </cell>
        </row>
        <row r="48">
          <cell r="A48" t="str">
            <v>Heredia, Maria Ines</v>
          </cell>
        </row>
        <row r="49">
          <cell r="A49" t="str">
            <v>Gómes, Celeste</v>
          </cell>
        </row>
        <row r="50">
          <cell r="A50" t="str">
            <v>Fúnes, Evangelina</v>
          </cell>
        </row>
        <row r="51">
          <cell r="A51" t="str">
            <v>Ferreyra, Celsa</v>
          </cell>
        </row>
        <row r="52">
          <cell r="A52" t="str">
            <v>Ferrero, Pablo Ariel</v>
          </cell>
        </row>
        <row r="53">
          <cell r="A53" t="str">
            <v>Escudero, Silvia</v>
          </cell>
        </row>
        <row r="54">
          <cell r="A54" t="str">
            <v>Dominguez, Pedro José</v>
          </cell>
        </row>
        <row r="55">
          <cell r="A55" t="str">
            <v>Ceballos, Miguel Antonio</v>
          </cell>
        </row>
        <row r="56">
          <cell r="A56" t="str">
            <v>Ceballos, Miguel Angel</v>
          </cell>
        </row>
        <row r="57">
          <cell r="A57" t="str">
            <v>Carabias, Gualberto Francisco</v>
          </cell>
        </row>
        <row r="58">
          <cell r="A58" t="str">
            <v>Bustos, Elena</v>
          </cell>
        </row>
        <row r="59">
          <cell r="A59" t="str">
            <v>Bustos Reynoso, Maria Antonella</v>
          </cell>
        </row>
        <row r="60">
          <cell r="A60" t="str">
            <v>Bonfiglio, María Esther</v>
          </cell>
        </row>
        <row r="61">
          <cell r="A61" t="str">
            <v>Bazán, Luis Antonio</v>
          </cell>
        </row>
        <row r="62">
          <cell r="A62" t="str">
            <v>Barroso, Mario Andres</v>
          </cell>
        </row>
        <row r="63">
          <cell r="A63" t="str">
            <v>Avila, Silvia Graciela</v>
          </cell>
        </row>
        <row r="64">
          <cell r="A64" t="str">
            <v>Avaca, Walter Emir</v>
          </cell>
        </row>
        <row r="65">
          <cell r="A65" t="str">
            <v>Astorga, Andrés</v>
          </cell>
        </row>
        <row r="66">
          <cell r="A66" t="str">
            <v>Assis, Victor</v>
          </cell>
        </row>
        <row r="67">
          <cell r="A67" t="str">
            <v>Arguello, Victor Oscar</v>
          </cell>
        </row>
        <row r="68">
          <cell r="A68" t="str">
            <v>Arguello, Rubén Guillermo</v>
          </cell>
        </row>
        <row r="69">
          <cell r="A69" t="str">
            <v>Arguello, Giselle</v>
          </cell>
        </row>
        <row r="70">
          <cell r="A70" t="str">
            <v>Altamirano, Mauricio Gaston</v>
          </cell>
        </row>
        <row r="71">
          <cell r="A71" t="str">
            <v>Altamirano, Daniel</v>
          </cell>
        </row>
        <row r="72">
          <cell r="A72" t="str">
            <v>Aguirre, Claudio Manuel</v>
          </cell>
        </row>
        <row r="73">
          <cell r="A73" t="str">
            <v>Bringas, Exequiel Matias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 t="str">
            <v>PARA ART</v>
          </cell>
        </row>
        <row r="84">
          <cell r="A84" t="str">
            <v>Albornoz, Leonardo</v>
          </cell>
        </row>
        <row r="85">
          <cell r="A85" t="str">
            <v>Andrada, Carlos Enrique</v>
          </cell>
        </row>
        <row r="86">
          <cell r="A86" t="str">
            <v>Baigorria, Mario Humberto</v>
          </cell>
        </row>
        <row r="87">
          <cell r="A87" t="str">
            <v>Barruty, Nancy</v>
          </cell>
        </row>
        <row r="88">
          <cell r="A88" t="str">
            <v>Castro, Mónica Marcela</v>
          </cell>
        </row>
        <row r="89">
          <cell r="A89" t="str">
            <v>Cejas, Mario</v>
          </cell>
        </row>
        <row r="90">
          <cell r="A90" t="str">
            <v xml:space="preserve">Ferrero, Fabian </v>
          </cell>
        </row>
        <row r="91">
          <cell r="A91" t="str">
            <v>Escudero, Marcela</v>
          </cell>
        </row>
        <row r="92">
          <cell r="A92" t="str">
            <v>Fozzatti, Julio Alberto</v>
          </cell>
        </row>
        <row r="93">
          <cell r="A93" t="str">
            <v>Gallardo, Hipólito</v>
          </cell>
        </row>
        <row r="94">
          <cell r="A94" t="str">
            <v>Hualpa, Cesar</v>
          </cell>
        </row>
        <row r="95">
          <cell r="A95" t="str">
            <v>Leyría, Luis Alberto</v>
          </cell>
        </row>
        <row r="96">
          <cell r="A96" t="str">
            <v>Maldonado, Victor Hugo</v>
          </cell>
        </row>
        <row r="97">
          <cell r="A97" t="str">
            <v>Maldonado, Walter</v>
          </cell>
        </row>
        <row r="98">
          <cell r="A98" t="str">
            <v>Miranda, Carlos</v>
          </cell>
        </row>
        <row r="99">
          <cell r="A99" t="str">
            <v>Miranda, María Esther</v>
          </cell>
        </row>
        <row r="100">
          <cell r="A100" t="str">
            <v>Miranda, Carolina</v>
          </cell>
        </row>
        <row r="101">
          <cell r="A101" t="str">
            <v>Olmedo, Victor Daniel</v>
          </cell>
        </row>
        <row r="102">
          <cell r="A102" t="str">
            <v>Ortiz, Flora del Valle</v>
          </cell>
        </row>
        <row r="103">
          <cell r="A103" t="str">
            <v>Ortiz, José Dionisio</v>
          </cell>
        </row>
        <row r="104">
          <cell r="A104" t="str">
            <v>Oviedo, Javier Omar</v>
          </cell>
        </row>
        <row r="105">
          <cell r="A105" t="str">
            <v>Oviedo, Jorge Eduardo</v>
          </cell>
        </row>
        <row r="106">
          <cell r="A106" t="str">
            <v>Pereyra, Jorge Omar</v>
          </cell>
        </row>
        <row r="107">
          <cell r="A107" t="str">
            <v>Rébora, Enrique Rodolfo</v>
          </cell>
        </row>
        <row r="108">
          <cell r="A108" t="str">
            <v>Rivero, Julio Cesar</v>
          </cell>
        </row>
        <row r="109">
          <cell r="A109" t="str">
            <v>Roveres, Martín</v>
          </cell>
        </row>
        <row r="110">
          <cell r="A110" t="str">
            <v>Salgado, Carlos Alberto</v>
          </cell>
        </row>
        <row r="111">
          <cell r="A111" t="str">
            <v>Sosa, Angel Eduardo</v>
          </cell>
        </row>
        <row r="112">
          <cell r="A112" t="str">
            <v>Sosa, Noel Armando</v>
          </cell>
        </row>
        <row r="113">
          <cell r="A113" t="str">
            <v>Vallejo, Carlos Rufino</v>
          </cell>
        </row>
        <row r="114">
          <cell r="A114" t="str">
            <v>Yriarte, Marisa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 t="str">
            <v>Olmedo, Raul Alberto</v>
          </cell>
        </row>
        <row r="118">
          <cell r="A118" t="str">
            <v>Fozzatti, Julio Alberto</v>
          </cell>
        </row>
        <row r="119">
          <cell r="A119" t="str">
            <v>Bazán, Fabio</v>
          </cell>
        </row>
        <row r="120">
          <cell r="A120" t="str">
            <v>Olmos, Angélica</v>
          </cell>
        </row>
        <row r="121">
          <cell r="A121" t="str">
            <v>Altamirano, Viviana</v>
          </cell>
        </row>
        <row r="122">
          <cell r="A122" t="str">
            <v>Avaca, Elsa Rosa</v>
          </cell>
        </row>
        <row r="123">
          <cell r="A123" t="str">
            <v>Lopez, Maria Fernanda</v>
          </cell>
        </row>
        <row r="124">
          <cell r="A124" t="str">
            <v>Reymundo, Rodolfo Rogelio</v>
          </cell>
        </row>
        <row r="125">
          <cell r="A125" t="str">
            <v>Arrascaeta, Raul Abel</v>
          </cell>
        </row>
        <row r="126">
          <cell r="A126" t="str">
            <v>Cruz, Judith</v>
          </cell>
        </row>
      </sheetData>
      <sheetData sheetId="3"/>
      <sheetData sheetId="4"/>
      <sheetData sheetId="5"/>
      <sheetData sheetId="6"/>
      <sheetData sheetId="7">
        <row r="93">
          <cell r="A93" t="str">
            <v>Olmedo, Raul Alberto</v>
          </cell>
        </row>
        <row r="94">
          <cell r="A94" t="str">
            <v>Oliva, Guillermo</v>
          </cell>
        </row>
        <row r="95">
          <cell r="A95" t="str">
            <v>Oliva, Guillermo</v>
          </cell>
        </row>
        <row r="96">
          <cell r="A96" t="str">
            <v>Muñoz, Susana Raquel</v>
          </cell>
        </row>
        <row r="97">
          <cell r="A97" t="str">
            <v>Montenegro, Luciana</v>
          </cell>
        </row>
        <row r="98">
          <cell r="A98" t="str">
            <v>Molina, Aldo</v>
          </cell>
        </row>
        <row r="99">
          <cell r="A99" t="str">
            <v>Miranda, Carolina</v>
          </cell>
        </row>
        <row r="100">
          <cell r="A100" t="str">
            <v>Miranda, Carolina</v>
          </cell>
        </row>
        <row r="101">
          <cell r="A101" t="str">
            <v>Miranda, Carolina</v>
          </cell>
        </row>
        <row r="102">
          <cell r="A102" t="str">
            <v>Manzone, Adrian Marcelo</v>
          </cell>
        </row>
        <row r="103">
          <cell r="A103" t="str">
            <v>Mancera, Maximiliano</v>
          </cell>
        </row>
        <row r="104">
          <cell r="A104" t="str">
            <v>Maldonado, Walter</v>
          </cell>
        </row>
        <row r="105">
          <cell r="A105" t="str">
            <v>Maldonado, Victor Hugo</v>
          </cell>
        </row>
        <row r="106">
          <cell r="A106" t="str">
            <v>Maldonado, Victor Hugo</v>
          </cell>
        </row>
        <row r="107">
          <cell r="A107" t="str">
            <v>Leyría, Luis Alberto</v>
          </cell>
        </row>
        <row r="108">
          <cell r="A108" t="str">
            <v>Leyría, Luis Alberto</v>
          </cell>
        </row>
        <row r="109">
          <cell r="A109" t="str">
            <v>Hualpa, Cesar</v>
          </cell>
        </row>
        <row r="110">
          <cell r="A110" t="str">
            <v>Heredia, Maria Ines</v>
          </cell>
        </row>
        <row r="111">
          <cell r="A111" t="str">
            <v>Fúnes, Evangelina</v>
          </cell>
        </row>
        <row r="112">
          <cell r="A112" t="str">
            <v>Fúnes, Evangelina</v>
          </cell>
        </row>
        <row r="113">
          <cell r="A113" t="str">
            <v>Fúnes, Evangelina</v>
          </cell>
        </row>
        <row r="114">
          <cell r="A114" t="str">
            <v>Fúnes, Evangelina</v>
          </cell>
        </row>
        <row r="115">
          <cell r="A115" t="str">
            <v>Fúnes, Evangelina</v>
          </cell>
        </row>
        <row r="116">
          <cell r="A116" t="str">
            <v>Ferreyra, Celsa</v>
          </cell>
        </row>
        <row r="117">
          <cell r="A117" t="str">
            <v xml:space="preserve">Ferrero, Fabian </v>
          </cell>
        </row>
        <row r="118">
          <cell r="A118" t="str">
            <v xml:space="preserve">Ferrero, Fabian </v>
          </cell>
        </row>
        <row r="119">
          <cell r="A119" t="str">
            <v xml:space="preserve">Ferrero, Fabian </v>
          </cell>
        </row>
        <row r="120">
          <cell r="A120" t="str">
            <v xml:space="preserve">Ferrero, Fabian </v>
          </cell>
        </row>
        <row r="121">
          <cell r="A121" t="str">
            <v xml:space="preserve">Ferrero, Fabian </v>
          </cell>
        </row>
        <row r="122">
          <cell r="A122" t="str">
            <v xml:space="preserve">Ferrero, Fabian </v>
          </cell>
        </row>
        <row r="123">
          <cell r="A123" t="str">
            <v xml:space="preserve">Ferrero, Fabian </v>
          </cell>
        </row>
        <row r="124">
          <cell r="A124" t="str">
            <v xml:space="preserve">Ferrero, Fabian </v>
          </cell>
        </row>
        <row r="125">
          <cell r="A125" t="str">
            <v>Escudero, Silvia</v>
          </cell>
        </row>
        <row r="126">
          <cell r="A126" t="str">
            <v>Escudero, Marcela</v>
          </cell>
        </row>
        <row r="127">
          <cell r="A127" t="str">
            <v>Escudero, Marcela</v>
          </cell>
        </row>
        <row r="128">
          <cell r="A128" t="str">
            <v>Ceballos, Miguel Antonio</v>
          </cell>
        </row>
        <row r="129">
          <cell r="A129" t="str">
            <v>Ceballos, Miguel Antonio</v>
          </cell>
        </row>
        <row r="130">
          <cell r="A130" t="str">
            <v>Ceballos, Miguel Antonio</v>
          </cell>
        </row>
        <row r="131">
          <cell r="A131" t="str">
            <v>Bustos Reynoso, Maria Antonella</v>
          </cell>
        </row>
        <row r="132">
          <cell r="A132" t="str">
            <v>Bustos Reynoso, Maria Antonella</v>
          </cell>
        </row>
        <row r="133">
          <cell r="A133" t="str">
            <v>Bazán, Fabio</v>
          </cell>
        </row>
        <row r="134">
          <cell r="A134" t="str">
            <v>Bazán, Fabio</v>
          </cell>
        </row>
        <row r="135">
          <cell r="A135" t="str">
            <v>Barroso, Mario Andres</v>
          </cell>
        </row>
        <row r="136">
          <cell r="A136" t="str">
            <v>Barroso, Mario Andres</v>
          </cell>
        </row>
        <row r="137">
          <cell r="A137" t="str">
            <v>Barroso, Mario Andres</v>
          </cell>
        </row>
        <row r="138">
          <cell r="A138" t="str">
            <v>Baigorria, Mario Humberto</v>
          </cell>
        </row>
        <row r="139">
          <cell r="A139" t="str">
            <v>Baigorria, Mario Humberto</v>
          </cell>
        </row>
        <row r="140">
          <cell r="A140" t="str">
            <v>Astorga, Andrés</v>
          </cell>
        </row>
        <row r="141">
          <cell r="A141" t="str">
            <v>Arguello, Victor Oscar</v>
          </cell>
        </row>
        <row r="142">
          <cell r="A142" t="str">
            <v>Arguello, Giselle</v>
          </cell>
        </row>
        <row r="143">
          <cell r="A143" t="str">
            <v>Andrada, Carlos Enrique</v>
          </cell>
        </row>
        <row r="144">
          <cell r="A144" t="str">
            <v>Altamirano, Mauricio Gaston</v>
          </cell>
        </row>
        <row r="145">
          <cell r="A145" t="str">
            <v>Albornoz, Leonardo</v>
          </cell>
        </row>
        <row r="146">
          <cell r="A146" t="str">
            <v>Albornoz, Leonardo</v>
          </cell>
        </row>
        <row r="147">
          <cell r="A147" t="str">
            <v>Albornoz, Leonardo</v>
          </cell>
        </row>
        <row r="148">
          <cell r="A148" t="str">
            <v>Albornoz, Leonardo</v>
          </cell>
        </row>
        <row r="149">
          <cell r="A149" t="str">
            <v>Albornoz, Leonardo</v>
          </cell>
        </row>
        <row r="150">
          <cell r="A150" t="str">
            <v>Albornoz, Leonardo</v>
          </cell>
        </row>
        <row r="151">
          <cell r="A151" t="str">
            <v>Albornoz, Leonardo</v>
          </cell>
        </row>
        <row r="152">
          <cell r="A152" t="str">
            <v>Aguirre, Claudio Manuel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AM154"/>
  <sheetViews>
    <sheetView topLeftCell="A22" zoomScale="151" zoomScaleNormal="151" workbookViewId="0">
      <selection activeCell="H72" sqref="H72"/>
    </sheetView>
  </sheetViews>
  <sheetFormatPr baseColWidth="10" defaultColWidth="2.44140625" defaultRowHeight="12.75" customHeight="1" x14ac:dyDescent="0.25"/>
  <cols>
    <col min="1" max="18" width="2.44140625" style="28" customWidth="1"/>
    <col min="19" max="19" width="2.44140625" style="2" customWidth="1"/>
    <col min="20" max="28" width="2.44140625" style="28" customWidth="1"/>
    <col min="29" max="49" width="2.44140625" style="28"/>
    <col min="50" max="50" width="5.44140625" style="28" bestFit="1" customWidth="1"/>
    <col min="51" max="16384" width="2.44140625" style="28"/>
  </cols>
  <sheetData>
    <row r="1" spans="2:39" ht="12.75" customHeight="1" x14ac:dyDescent="0.25">
      <c r="B1" s="103" t="s">
        <v>117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</row>
    <row r="2" spans="2:39" ht="12.75" customHeight="1" thickBot="1" x14ac:dyDescent="0.3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</row>
    <row r="3" spans="2:39" ht="12.75" customHeight="1" thickTop="1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1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</row>
    <row r="4" spans="2:39" ht="12.75" customHeight="1" x14ac:dyDescent="0.25">
      <c r="B4" s="101" t="s">
        <v>118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</row>
    <row r="5" spans="2:39" ht="3.75" customHeight="1" x14ac:dyDescent="0.25"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2:39" ht="12.75" customHeight="1" x14ac:dyDescent="0.25">
      <c r="B6" s="105">
        <f ca="1">INDIRECT("Hoja3!O" &amp; H71)</f>
        <v>0</v>
      </c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1" t="s">
        <v>127</v>
      </c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M6" s="30" t="s">
        <v>574</v>
      </c>
    </row>
    <row r="7" spans="2:39" s="30" customFormat="1" ht="3.75" customHeight="1" x14ac:dyDescent="0.25"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2:39" ht="12.75" customHeight="1" x14ac:dyDescent="0.25">
      <c r="B8" s="101" t="s">
        <v>126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</row>
    <row r="9" spans="2:39" s="30" customFormat="1" ht="3.75" customHeight="1" x14ac:dyDescent="0.25"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2:39" ht="12.75" customHeight="1" x14ac:dyDescent="0.25">
      <c r="B10" s="100" t="s">
        <v>518</v>
      </c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98" t="s">
        <v>120</v>
      </c>
      <c r="O10" s="98"/>
      <c r="P10" s="98"/>
      <c r="Q10" s="100" t="s">
        <v>519</v>
      </c>
      <c r="R10" s="100"/>
      <c r="S10" s="100"/>
      <c r="T10" s="100"/>
      <c r="U10" s="100"/>
      <c r="V10" s="101" t="s">
        <v>520</v>
      </c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</row>
    <row r="11" spans="2:39" s="30" customFormat="1" ht="3.75" customHeight="1" x14ac:dyDescent="0.25"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2:39" ht="12.75" customHeight="1" x14ac:dyDescent="0.25">
      <c r="B12" s="100" t="s">
        <v>119</v>
      </c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98" t="s">
        <v>120</v>
      </c>
      <c r="O12" s="98"/>
      <c r="P12" s="98"/>
      <c r="Q12" s="100" t="s">
        <v>121</v>
      </c>
      <c r="R12" s="100"/>
      <c r="S12" s="100"/>
      <c r="T12" s="100"/>
      <c r="U12" s="100"/>
      <c r="V12" s="101" t="s">
        <v>122</v>
      </c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3"/>
    </row>
    <row r="13" spans="2:39" s="30" customFormat="1" ht="3.75" customHeight="1" x14ac:dyDescent="0.25"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</row>
    <row r="14" spans="2:39" ht="12.75" customHeight="1" x14ac:dyDescent="0.25">
      <c r="B14" s="101" t="s">
        <v>123</v>
      </c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6" t="s">
        <v>434</v>
      </c>
      <c r="R14" s="106"/>
      <c r="S14" s="106"/>
      <c r="T14" s="100">
        <f ca="1">INDIRECT("Hoja3!A" &amp; H71)</f>
        <v>0</v>
      </c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3"/>
    </row>
    <row r="15" spans="2:39" s="30" customFormat="1" ht="3.75" customHeight="1" x14ac:dyDescent="0.25"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2:39" ht="12.75" customHeight="1" x14ac:dyDescent="0.25">
      <c r="B16" s="98" t="s">
        <v>120</v>
      </c>
      <c r="C16" s="98"/>
      <c r="D16" s="98"/>
      <c r="E16" s="99">
        <f ca="1">INDIRECT("Hoja3!B" &amp; H71)</f>
        <v>0</v>
      </c>
      <c r="F16" s="100"/>
      <c r="G16" s="100"/>
      <c r="H16" s="100"/>
      <c r="I16" s="100"/>
      <c r="J16" s="101" t="s">
        <v>124</v>
      </c>
      <c r="K16" s="101"/>
      <c r="L16" s="101"/>
      <c r="M16" s="101"/>
      <c r="N16" s="101"/>
      <c r="O16" s="101"/>
      <c r="P16" s="101"/>
      <c r="Q16" s="101"/>
      <c r="R16" s="102">
        <f ca="1">INDIRECT("Hoja3!J" &amp; H71)</f>
        <v>0</v>
      </c>
      <c r="S16" s="102"/>
      <c r="T16" s="102"/>
      <c r="U16" s="102"/>
      <c r="V16" s="102"/>
      <c r="W16" s="102"/>
      <c r="X16" s="102"/>
      <c r="Y16" s="102"/>
      <c r="Z16" s="97">
        <f ca="1">INDIRECT("Hoja3!K" &amp; H71)</f>
        <v>0</v>
      </c>
      <c r="AA16" s="97"/>
      <c r="AB16" s="101" t="s">
        <v>125</v>
      </c>
      <c r="AC16" s="101"/>
      <c r="AD16" s="101"/>
      <c r="AE16" s="101"/>
      <c r="AF16" s="101"/>
      <c r="AG16" s="101"/>
      <c r="AH16" s="101"/>
      <c r="AI16" s="3"/>
    </row>
    <row r="17" spans="2:35" s="30" customFormat="1" ht="3.75" customHeight="1" x14ac:dyDescent="0.25"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2:35" ht="12.75" customHeight="1" x14ac:dyDescent="0.25">
      <c r="B18" s="111">
        <f ca="1">INDIRECT("Hoja3!L" &amp; H71)</f>
        <v>0</v>
      </c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0" t="s">
        <v>144</v>
      </c>
      <c r="O18" s="110"/>
      <c r="P18" s="110"/>
      <c r="Q18" s="110"/>
      <c r="R18" s="110"/>
      <c r="S18" s="111">
        <f ca="1">INDIRECT("Hoja3!M" &amp; H71)</f>
        <v>0</v>
      </c>
      <c r="T18" s="111"/>
      <c r="U18" s="111"/>
      <c r="V18" s="111"/>
      <c r="W18" s="111"/>
      <c r="X18" s="110" t="s">
        <v>145</v>
      </c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3"/>
    </row>
    <row r="19" spans="2:35" s="30" customFormat="1" ht="3.75" customHeight="1" x14ac:dyDescent="0.25"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2:35" ht="12.75" customHeight="1" x14ac:dyDescent="0.25">
      <c r="B20" s="107" t="s">
        <v>521</v>
      </c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3"/>
    </row>
    <row r="21" spans="2:35" s="30" customFormat="1" ht="3.75" customHeight="1" x14ac:dyDescent="0.25"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2:35" ht="12.75" customHeight="1" x14ac:dyDescent="0.25">
      <c r="B22" s="101" t="s">
        <v>129</v>
      </c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3"/>
    </row>
    <row r="23" spans="2:35" s="30" customFormat="1" ht="3.75" customHeight="1" x14ac:dyDescent="0.25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2:35" ht="12.75" customHeight="1" x14ac:dyDescent="0.25">
      <c r="B24" s="100">
        <f ca="1">T14</f>
        <v>0</v>
      </c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1" t="s">
        <v>128</v>
      </c>
      <c r="R24" s="101"/>
      <c r="S24" s="101"/>
      <c r="T24" s="101"/>
      <c r="U24" s="101"/>
      <c r="V24" s="101"/>
      <c r="W24" s="101"/>
      <c r="X24" s="101"/>
      <c r="Y24" s="101"/>
      <c r="Z24" s="101"/>
      <c r="AA24" s="32"/>
      <c r="AB24" s="32"/>
      <c r="AC24" s="32"/>
      <c r="AD24" s="32"/>
      <c r="AE24" s="32"/>
      <c r="AF24" s="32"/>
      <c r="AG24" s="32"/>
      <c r="AH24" s="32"/>
      <c r="AI24" s="3"/>
    </row>
    <row r="25" spans="2:35" s="30" customFormat="1" ht="3.75" customHeight="1" x14ac:dyDescent="0.25"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2:35" ht="12.75" customHeight="1" x14ac:dyDescent="0.25">
      <c r="B26" s="98">
        <f ca="1">INDIRECT("Hoja3!D" &amp; H71)</f>
        <v>0</v>
      </c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3"/>
    </row>
    <row r="27" spans="2:35" s="30" customFormat="1" ht="3.75" customHeight="1" x14ac:dyDescent="0.25"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</row>
    <row r="28" spans="2:35" ht="12.75" customHeight="1" x14ac:dyDescent="0.25">
      <c r="B28" s="98">
        <f ca="1">INDIRECT("Hoja3!E" &amp; H71)</f>
        <v>0</v>
      </c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3"/>
    </row>
    <row r="29" spans="2:35" s="30" customFormat="1" ht="3.75" customHeight="1" x14ac:dyDescent="0.25"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</row>
    <row r="30" spans="2:35" ht="12.75" customHeight="1" x14ac:dyDescent="0.25">
      <c r="B30" s="98">
        <f ca="1">INDIRECT("Hoja3!F" &amp; H71)</f>
        <v>0</v>
      </c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3"/>
    </row>
    <row r="31" spans="2:35" s="30" customFormat="1" ht="3.75" customHeight="1" x14ac:dyDescent="0.25"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2:35" s="30" customFormat="1" ht="12.75" customHeight="1" x14ac:dyDescent="0.25">
      <c r="B32" s="98">
        <f ca="1">INDIRECT("Hoja3!G" &amp; H71)</f>
        <v>0</v>
      </c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3"/>
    </row>
    <row r="33" spans="2:35" s="30" customFormat="1" ht="3.75" customHeight="1" x14ac:dyDescent="0.25"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2:35" s="30" customFormat="1" ht="12.75" customHeight="1" x14ac:dyDescent="0.25">
      <c r="B34" s="98">
        <f ca="1">INDIRECT("Hoja3!H" &amp; H71)</f>
        <v>0</v>
      </c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3"/>
    </row>
    <row r="35" spans="2:35" s="30" customFormat="1" ht="3.75" customHeight="1" x14ac:dyDescent="0.25"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2:35" s="30" customFormat="1" ht="12.75" customHeight="1" x14ac:dyDescent="0.25">
      <c r="B36" s="98">
        <f ca="1">INDIRECT("Hoja3!I" &amp; H71)</f>
        <v>0</v>
      </c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3"/>
    </row>
    <row r="37" spans="2:35" s="30" customFormat="1" ht="3.75" customHeight="1" x14ac:dyDescent="0.25"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</row>
    <row r="38" spans="2:35" ht="12.75" customHeight="1" x14ac:dyDescent="0.25">
      <c r="B38" s="107" t="s">
        <v>522</v>
      </c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9">
        <f ca="1">INDIRECT("Hoja3!C" &amp; H71)</f>
        <v>0</v>
      </c>
      <c r="AF38" s="109"/>
      <c r="AG38" s="109"/>
      <c r="AH38" s="109"/>
      <c r="AI38" s="109"/>
    </row>
    <row r="39" spans="2:35" s="30" customFormat="1" ht="3.75" customHeight="1" x14ac:dyDescent="0.25"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2:35" ht="12.75" customHeight="1" x14ac:dyDescent="0.25">
      <c r="B40" s="38" t="s">
        <v>149</v>
      </c>
      <c r="C40" s="108" t="str">
        <f ca="1">CONVERTIRNUM(AE38,TRUE)</f>
        <v>Cero Pesos Con Cero Centavos</v>
      </c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48" t="s">
        <v>150</v>
      </c>
      <c r="AA40" s="30"/>
      <c r="AB40" s="30"/>
      <c r="AC40" s="30"/>
      <c r="AD40" s="30"/>
      <c r="AE40" s="30"/>
      <c r="AF40" s="30"/>
      <c r="AG40" s="30"/>
      <c r="AH40" s="30"/>
      <c r="AI40" s="30"/>
    </row>
    <row r="41" spans="2:35" s="30" customFormat="1" ht="3.75" customHeight="1" x14ac:dyDescent="0.25"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2:35" s="40" customFormat="1" ht="12.75" customHeight="1" x14ac:dyDescent="0.25">
      <c r="B42" s="107" t="s">
        <v>151</v>
      </c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39"/>
    </row>
    <row r="43" spans="2:35" s="30" customFormat="1" ht="3.75" customHeight="1" x14ac:dyDescent="0.25"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2:35" ht="12.75" customHeight="1" x14ac:dyDescent="0.25">
      <c r="B44" s="107" t="s">
        <v>152</v>
      </c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3"/>
    </row>
    <row r="45" spans="2:35" s="30" customFormat="1" ht="3.75" customHeight="1" x14ac:dyDescent="0.25"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2:35" ht="12.75" customHeight="1" x14ac:dyDescent="0.25">
      <c r="B46" s="107" t="s">
        <v>153</v>
      </c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3"/>
    </row>
    <row r="47" spans="2:35" s="30" customFormat="1" ht="3.75" customHeight="1" x14ac:dyDescent="0.25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2:35" ht="12.75" customHeight="1" x14ac:dyDescent="0.25">
      <c r="B48" s="107" t="s">
        <v>154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3"/>
    </row>
    <row r="49" spans="2:35" s="30" customFormat="1" ht="3.75" customHeight="1" x14ac:dyDescent="0.25"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2:35" ht="12.75" customHeight="1" x14ac:dyDescent="0.25">
      <c r="B50" s="107" t="s">
        <v>523</v>
      </c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3"/>
    </row>
    <row r="51" spans="2:35" s="30" customFormat="1" ht="3.75" customHeight="1" x14ac:dyDescent="0.25"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2:35" ht="12.75" customHeight="1" x14ac:dyDescent="0.25">
      <c r="B52" s="107" t="s">
        <v>524</v>
      </c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3"/>
    </row>
    <row r="53" spans="2:35" s="30" customFormat="1" ht="3.75" customHeight="1" x14ac:dyDescent="0.25"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2:35" ht="12.75" customHeight="1" x14ac:dyDescent="0.25">
      <c r="B54" s="110" t="s">
        <v>530</v>
      </c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5" t="str">
        <f ca="1">INDIRECT("Hoja3!N" &amp; H71) &amp; "  dias"</f>
        <v xml:space="preserve">  dias</v>
      </c>
      <c r="AC54" s="115"/>
      <c r="AD54" s="115"/>
      <c r="AE54" s="115"/>
      <c r="AF54" s="115"/>
      <c r="AG54" s="49"/>
      <c r="AH54" s="49"/>
      <c r="AI54" s="3"/>
    </row>
    <row r="55" spans="2:35" s="30" customFormat="1" ht="3.75" customHeight="1" x14ac:dyDescent="0.25"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</row>
    <row r="56" spans="2:35" s="30" customFormat="1" ht="12.75" customHeight="1" x14ac:dyDescent="0.25">
      <c r="B56" s="98" t="s">
        <v>534</v>
      </c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</row>
    <row r="57" spans="2:35" s="30" customFormat="1" ht="3.75" customHeight="1" x14ac:dyDescent="0.25">
      <c r="B57" s="31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2:35" ht="12.75" customHeight="1" x14ac:dyDescent="0.25">
      <c r="B58" s="114" t="s">
        <v>156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3"/>
    </row>
    <row r="59" spans="2:35" s="30" customFormat="1" ht="3.75" customHeight="1" x14ac:dyDescent="0.25"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2:35" ht="12.75" customHeight="1" x14ac:dyDescent="0.25">
      <c r="B60" s="114" t="s">
        <v>525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3"/>
    </row>
    <row r="61" spans="2:35" s="30" customFormat="1" ht="3.75" customHeight="1" x14ac:dyDescent="0.25"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2:35" ht="12.75" customHeight="1" x14ac:dyDescent="0.25">
      <c r="B62" s="114" t="s">
        <v>526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3"/>
    </row>
    <row r="63" spans="2:35" s="30" customFormat="1" ht="3.75" customHeight="1" x14ac:dyDescent="0.25"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2:35" ht="12.75" customHeight="1" x14ac:dyDescent="0.25">
      <c r="B64" s="114" t="s">
        <v>527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3"/>
    </row>
    <row r="65" spans="2:35" s="30" customFormat="1" ht="3.75" customHeight="1" x14ac:dyDescent="0.25"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2:35" ht="12.75" customHeight="1" x14ac:dyDescent="0.25">
      <c r="B66" s="114" t="s">
        <v>528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3"/>
    </row>
    <row r="67" spans="2:35" ht="3.75" customHeight="1" x14ac:dyDescent="0.25">
      <c r="Q67" s="4"/>
      <c r="R67" s="6"/>
      <c r="S67" s="5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3"/>
    </row>
    <row r="68" spans="2:35" ht="12.75" customHeight="1" x14ac:dyDescent="0.25">
      <c r="B68" s="114" t="s">
        <v>529</v>
      </c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</row>
    <row r="69" spans="2:35" s="30" customFormat="1" ht="3.75" customHeight="1" x14ac:dyDescent="0.25"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</row>
    <row r="70" spans="2:35" ht="12.75" customHeight="1" x14ac:dyDescent="0.25"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3"/>
    </row>
    <row r="71" spans="2:35" ht="12.75" customHeight="1" x14ac:dyDescent="0.25">
      <c r="B71" s="112" t="s">
        <v>783</v>
      </c>
      <c r="C71" s="112"/>
      <c r="D71" s="112"/>
      <c r="E71" s="112"/>
      <c r="F71" s="112"/>
      <c r="G71" s="112"/>
      <c r="H71" s="113">
        <v>681</v>
      </c>
      <c r="I71" s="113"/>
      <c r="J71" s="113"/>
      <c r="K71" s="113"/>
      <c r="L71" s="113"/>
      <c r="M71" s="31"/>
      <c r="N71" s="31"/>
      <c r="O71" s="31"/>
      <c r="P71" s="31"/>
      <c r="Q71" s="31"/>
      <c r="R71" s="31"/>
      <c r="S71" s="31"/>
      <c r="T71" s="6"/>
      <c r="U71" s="6"/>
      <c r="V71" s="6" t="s">
        <v>1428</v>
      </c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3"/>
    </row>
    <row r="72" spans="2:35" s="31" customFormat="1" ht="12.75" customHeight="1" x14ac:dyDescent="0.25">
      <c r="H72" s="91" t="s">
        <v>574</v>
      </c>
      <c r="O72" s="92" t="s">
        <v>574</v>
      </c>
    </row>
    <row r="73" spans="2:35" s="31" customFormat="1" ht="12.75" customHeight="1" x14ac:dyDescent="0.25"/>
    <row r="74" spans="2:35" s="31" customFormat="1" ht="12.75" customHeight="1" x14ac:dyDescent="0.25"/>
    <row r="75" spans="2:35" s="31" customFormat="1" ht="12.75" customHeight="1" x14ac:dyDescent="0.25"/>
    <row r="76" spans="2:35" s="31" customFormat="1" ht="12.75" customHeight="1" x14ac:dyDescent="0.25"/>
    <row r="77" spans="2:35" s="31" customFormat="1" ht="12.75" customHeight="1" x14ac:dyDescent="0.25"/>
    <row r="78" spans="2:35" s="31" customFormat="1" ht="12.75" customHeight="1" x14ac:dyDescent="0.25"/>
    <row r="79" spans="2:35" s="31" customFormat="1" ht="12.75" customHeight="1" x14ac:dyDescent="0.25"/>
    <row r="80" spans="2:35" s="31" customFormat="1" ht="12.75" customHeight="1" x14ac:dyDescent="0.25"/>
    <row r="81" s="31" customFormat="1" ht="12.75" customHeight="1" x14ac:dyDescent="0.25"/>
    <row r="82" s="31" customFormat="1" ht="12.75" customHeight="1" x14ac:dyDescent="0.25"/>
    <row r="83" s="31" customFormat="1" ht="12.75" customHeight="1" x14ac:dyDescent="0.25"/>
    <row r="84" s="31" customFormat="1" ht="12.75" customHeight="1" x14ac:dyDescent="0.25"/>
    <row r="85" s="31" customFormat="1" ht="12.75" customHeight="1" x14ac:dyDescent="0.25"/>
    <row r="86" s="31" customFormat="1" ht="12.75" customHeight="1" x14ac:dyDescent="0.25"/>
    <row r="87" s="31" customFormat="1" ht="12.75" customHeight="1" x14ac:dyDescent="0.25"/>
    <row r="88" s="31" customFormat="1" ht="12.75" customHeight="1" x14ac:dyDescent="0.25"/>
    <row r="89" s="31" customFormat="1" ht="12.75" customHeight="1" x14ac:dyDescent="0.25"/>
    <row r="90" s="31" customFormat="1" ht="12.75" customHeight="1" x14ac:dyDescent="0.25"/>
    <row r="91" s="31" customFormat="1" ht="12.75" customHeight="1" x14ac:dyDescent="0.25"/>
    <row r="92" s="31" customFormat="1" ht="12.75" customHeight="1" x14ac:dyDescent="0.25"/>
    <row r="93" s="31" customFormat="1" ht="12.75" customHeight="1" x14ac:dyDescent="0.25"/>
    <row r="94" s="31" customFormat="1" ht="12.75" customHeight="1" x14ac:dyDescent="0.25"/>
    <row r="95" s="31" customFormat="1" ht="12.75" customHeight="1" x14ac:dyDescent="0.25"/>
    <row r="96" s="31" customFormat="1" ht="12.75" customHeight="1" x14ac:dyDescent="0.25"/>
    <row r="97" s="31" customFormat="1" ht="12.75" customHeight="1" x14ac:dyDescent="0.25"/>
    <row r="98" s="31" customFormat="1" ht="12.75" customHeight="1" x14ac:dyDescent="0.25"/>
    <row r="99" s="31" customFormat="1" ht="12.75" customHeight="1" x14ac:dyDescent="0.25"/>
    <row r="100" s="31" customFormat="1" ht="12.75" customHeight="1" x14ac:dyDescent="0.25"/>
    <row r="101" s="31" customFormat="1" ht="12.75" customHeight="1" x14ac:dyDescent="0.25"/>
    <row r="102" s="31" customFormat="1" ht="12.75" customHeight="1" x14ac:dyDescent="0.25"/>
    <row r="103" s="31" customFormat="1" ht="12.75" customHeight="1" x14ac:dyDescent="0.25"/>
    <row r="104" s="31" customFormat="1" ht="12.75" customHeight="1" x14ac:dyDescent="0.25"/>
    <row r="105" s="31" customFormat="1" ht="12.75" customHeight="1" x14ac:dyDescent="0.25"/>
    <row r="106" s="31" customFormat="1" ht="12.75" customHeight="1" x14ac:dyDescent="0.25"/>
    <row r="107" s="31" customFormat="1" ht="12.75" customHeight="1" x14ac:dyDescent="0.25"/>
    <row r="108" s="31" customFormat="1" ht="12.75" customHeight="1" x14ac:dyDescent="0.25"/>
    <row r="109" s="31" customFormat="1" ht="12.75" customHeight="1" x14ac:dyDescent="0.25"/>
    <row r="110" s="31" customFormat="1" ht="12.75" customHeight="1" x14ac:dyDescent="0.25"/>
    <row r="111" s="31" customFormat="1" ht="12.75" customHeight="1" x14ac:dyDescent="0.25"/>
    <row r="112" s="31" customFormat="1" ht="12.75" customHeight="1" x14ac:dyDescent="0.25"/>
    <row r="113" s="31" customFormat="1" ht="12.75" customHeight="1" x14ac:dyDescent="0.25"/>
    <row r="114" s="31" customFormat="1" ht="12.75" customHeight="1" x14ac:dyDescent="0.25"/>
    <row r="115" s="31" customFormat="1" ht="12.75" customHeight="1" x14ac:dyDescent="0.25"/>
    <row r="116" s="31" customFormat="1" ht="12.75" customHeight="1" x14ac:dyDescent="0.25"/>
    <row r="117" s="31" customFormat="1" ht="12.75" customHeight="1" x14ac:dyDescent="0.25"/>
    <row r="118" s="31" customFormat="1" ht="12.75" customHeight="1" x14ac:dyDescent="0.25"/>
    <row r="119" s="31" customFormat="1" ht="12.75" customHeight="1" x14ac:dyDescent="0.25"/>
    <row r="120" s="31" customFormat="1" ht="12.75" customHeight="1" x14ac:dyDescent="0.25"/>
    <row r="121" s="31" customFormat="1" ht="12.75" customHeight="1" x14ac:dyDescent="0.25"/>
    <row r="122" s="31" customFormat="1" ht="12.75" customHeight="1" x14ac:dyDescent="0.25"/>
    <row r="123" s="31" customFormat="1" ht="12.75" customHeight="1" x14ac:dyDescent="0.25"/>
    <row r="124" s="31" customFormat="1" ht="12.75" customHeight="1" x14ac:dyDescent="0.25"/>
    <row r="125" s="31" customFormat="1" ht="12.75" customHeight="1" x14ac:dyDescent="0.25"/>
    <row r="126" s="31" customFormat="1" ht="12.75" customHeight="1" x14ac:dyDescent="0.25"/>
    <row r="127" s="31" customFormat="1" ht="12.75" customHeight="1" x14ac:dyDescent="0.25"/>
    <row r="128" s="31" customFormat="1" ht="12.75" customHeight="1" x14ac:dyDescent="0.25"/>
    <row r="129" s="31" customFormat="1" ht="12.75" customHeight="1" x14ac:dyDescent="0.25"/>
    <row r="130" s="31" customFormat="1" ht="12.75" customHeight="1" x14ac:dyDescent="0.25"/>
    <row r="131" s="31" customFormat="1" ht="12.75" customHeight="1" x14ac:dyDescent="0.25"/>
    <row r="132" s="31" customFormat="1" ht="12.75" customHeight="1" x14ac:dyDescent="0.25"/>
    <row r="133" s="31" customFormat="1" ht="12.75" customHeight="1" x14ac:dyDescent="0.25"/>
    <row r="134" s="31" customFormat="1" ht="12.75" customHeight="1" x14ac:dyDescent="0.25"/>
    <row r="154" spans="5:5" ht="12.75" customHeight="1" x14ac:dyDescent="0.25">
      <c r="E154" s="7"/>
    </row>
  </sheetData>
  <mergeCells count="56">
    <mergeCell ref="B52:AH52"/>
    <mergeCell ref="B58:AH58"/>
    <mergeCell ref="B60:AH60"/>
    <mergeCell ref="B54:AA54"/>
    <mergeCell ref="AB54:AF54"/>
    <mergeCell ref="B56:V56"/>
    <mergeCell ref="B71:G71"/>
    <mergeCell ref="H71:L71"/>
    <mergeCell ref="B62:AH62"/>
    <mergeCell ref="B64:AH64"/>
    <mergeCell ref="B66:AH66"/>
    <mergeCell ref="B68:AH68"/>
    <mergeCell ref="B46:AH46"/>
    <mergeCell ref="B48:AH48"/>
    <mergeCell ref="B50:AH50"/>
    <mergeCell ref="X18:AH18"/>
    <mergeCell ref="S18:W18"/>
    <mergeCell ref="N18:R18"/>
    <mergeCell ref="B18:M18"/>
    <mergeCell ref="B32:AH32"/>
    <mergeCell ref="B34:AH34"/>
    <mergeCell ref="B36:AH36"/>
    <mergeCell ref="Q14:S14"/>
    <mergeCell ref="T14:AH14"/>
    <mergeCell ref="B14:P14"/>
    <mergeCell ref="B42:AH42"/>
    <mergeCell ref="B44:AH44"/>
    <mergeCell ref="C40:Y40"/>
    <mergeCell ref="B22:AH22"/>
    <mergeCell ref="B24:P24"/>
    <mergeCell ref="Q24:Z24"/>
    <mergeCell ref="AB16:AH16"/>
    <mergeCell ref="B20:AH20"/>
    <mergeCell ref="B38:AD38"/>
    <mergeCell ref="AE38:AI38"/>
    <mergeCell ref="B26:AH26"/>
    <mergeCell ref="B28:AH28"/>
    <mergeCell ref="B30:AH30"/>
    <mergeCell ref="Q10:U10"/>
    <mergeCell ref="Q12:U12"/>
    <mergeCell ref="N12:P12"/>
    <mergeCell ref="V12:AH12"/>
    <mergeCell ref="B10:M10"/>
    <mergeCell ref="B12:M12"/>
    <mergeCell ref="N10:P10"/>
    <mergeCell ref="V10:AH10"/>
    <mergeCell ref="B1:AH2"/>
    <mergeCell ref="B4:AH4"/>
    <mergeCell ref="B8:AH8"/>
    <mergeCell ref="B6:O6"/>
    <mergeCell ref="P6:AH6"/>
    <mergeCell ref="Z16:AA16"/>
    <mergeCell ref="B16:D16"/>
    <mergeCell ref="E16:I16"/>
    <mergeCell ref="J16:Q16"/>
    <mergeCell ref="R16:Y16"/>
  </mergeCells>
  <phoneticPr fontId="2" type="noConversion"/>
  <dataValidations disablePrompts="1" count="1">
    <dataValidation type="list" allowBlank="1" showInputMessage="1" showErrorMessage="1" sqref="U85:AH85">
      <formula1>Empleados</formula1>
    </dataValidation>
  </dataValidations>
  <printOptions horizontalCentered="1"/>
  <pageMargins left="0.78740157480314965" right="0.74803149606299213" top="1.9685039370078741" bottom="0.59055118110236227" header="0" footer="0"/>
  <pageSetup paperSize="9" orientation="portrait" r:id="rId1"/>
  <headerFooter alignWithMargins="0">
    <oddHeader>&amp;L&amp;G&amp;C&amp;"Segoe UI,Negrita"&amp;14MUNICIPALIDAD DE VILLA DE LAS ROSAS&amp;"Segoe UI,Normal"&amp;12Departamento San Javier - Córdoba&amp;R&amp;G</oddHeader>
    <oddFooter>&amp;C&amp;"Segoe UI,Negrita"&amp;11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16"/>
  <sheetViews>
    <sheetView topLeftCell="A106" workbookViewId="0">
      <selection activeCell="D10" sqref="D10"/>
    </sheetView>
  </sheetViews>
  <sheetFormatPr baseColWidth="10" defaultColWidth="11.44140625" defaultRowHeight="15" x14ac:dyDescent="0.25"/>
  <cols>
    <col min="1" max="1" width="37.44140625" style="13" bestFit="1" customWidth="1"/>
    <col min="2" max="2" width="13" style="12" bestFit="1" customWidth="1"/>
    <col min="3" max="16384" width="11.44140625" style="12"/>
  </cols>
  <sheetData>
    <row r="1" spans="1:7" ht="15.6" x14ac:dyDescent="0.3">
      <c r="A1" s="11" t="s">
        <v>94</v>
      </c>
      <c r="B1" s="10" t="s">
        <v>115</v>
      </c>
    </row>
    <row r="2" spans="1:7" x14ac:dyDescent="0.25">
      <c r="A2" s="16" t="s">
        <v>116</v>
      </c>
      <c r="B2" s="18">
        <v>35056284</v>
      </c>
      <c r="D2" s="9"/>
      <c r="E2" s="9"/>
      <c r="F2" s="9"/>
      <c r="G2" s="9"/>
    </row>
    <row r="3" spans="1:7" x14ac:dyDescent="0.25">
      <c r="A3" s="27" t="s">
        <v>0</v>
      </c>
      <c r="B3" s="18">
        <v>22104088</v>
      </c>
      <c r="D3" s="9"/>
      <c r="E3" s="9"/>
      <c r="F3" s="9"/>
      <c r="G3" s="9"/>
    </row>
    <row r="4" spans="1:7" x14ac:dyDescent="0.25">
      <c r="A4" s="16" t="s">
        <v>1</v>
      </c>
      <c r="B4" s="18">
        <v>13510382</v>
      </c>
      <c r="D4" s="9"/>
      <c r="E4" s="9"/>
      <c r="F4" s="9"/>
      <c r="G4" s="9"/>
    </row>
    <row r="5" spans="1:7" x14ac:dyDescent="0.25">
      <c r="A5" s="16" t="s">
        <v>3</v>
      </c>
      <c r="B5" s="18">
        <v>37440465</v>
      </c>
      <c r="D5" s="9"/>
      <c r="E5" s="9"/>
      <c r="F5" s="9"/>
      <c r="G5" s="9"/>
    </row>
    <row r="6" spans="1:7" x14ac:dyDescent="0.25">
      <c r="A6" s="16" t="s">
        <v>2</v>
      </c>
      <c r="B6" s="18">
        <v>25105469</v>
      </c>
      <c r="D6" s="9"/>
      <c r="E6" s="9"/>
      <c r="F6" s="9"/>
      <c r="G6" s="9"/>
    </row>
    <row r="7" spans="1:7" x14ac:dyDescent="0.25">
      <c r="A7" s="20" t="s">
        <v>114</v>
      </c>
      <c r="B7" s="21">
        <v>27490511</v>
      </c>
      <c r="D7" s="9"/>
      <c r="E7" s="9"/>
      <c r="F7" s="9"/>
      <c r="G7" s="9"/>
    </row>
    <row r="8" spans="1:7" x14ac:dyDescent="0.25">
      <c r="A8" s="16" t="s">
        <v>4</v>
      </c>
      <c r="B8" s="18">
        <v>16548892</v>
      </c>
      <c r="D8" s="9"/>
      <c r="E8" s="9"/>
      <c r="F8" s="9"/>
      <c r="G8" s="9"/>
    </row>
    <row r="9" spans="1:7" x14ac:dyDescent="0.25">
      <c r="A9" s="25" t="s">
        <v>5</v>
      </c>
      <c r="B9" s="18">
        <v>32888764</v>
      </c>
      <c r="D9" s="9"/>
      <c r="E9" s="9"/>
      <c r="F9" s="9"/>
      <c r="G9" s="9"/>
    </row>
    <row r="10" spans="1:7" x14ac:dyDescent="0.25">
      <c r="A10" s="16" t="s">
        <v>6</v>
      </c>
      <c r="B10" s="18">
        <v>31833125</v>
      </c>
      <c r="D10" s="9"/>
      <c r="E10" s="9"/>
      <c r="F10" s="9"/>
      <c r="G10" s="9"/>
    </row>
    <row r="11" spans="1:7" x14ac:dyDescent="0.25">
      <c r="A11" s="16" t="s">
        <v>7</v>
      </c>
      <c r="B11" s="18">
        <v>32888789</v>
      </c>
      <c r="D11" s="9"/>
      <c r="E11" s="9"/>
      <c r="F11" s="9"/>
      <c r="G11" s="9"/>
    </row>
    <row r="12" spans="1:7" x14ac:dyDescent="0.25">
      <c r="A12" s="20" t="s">
        <v>108</v>
      </c>
      <c r="B12" s="21">
        <v>10188932</v>
      </c>
      <c r="D12" s="9"/>
      <c r="E12" s="9"/>
      <c r="F12" s="9"/>
      <c r="G12" s="9"/>
    </row>
    <row r="13" spans="1:7" x14ac:dyDescent="0.25">
      <c r="A13" s="15" t="s">
        <v>10</v>
      </c>
      <c r="B13" s="21">
        <v>36917595</v>
      </c>
      <c r="D13" s="9"/>
      <c r="E13" s="9"/>
      <c r="F13" s="9"/>
      <c r="G13" s="9"/>
    </row>
    <row r="14" spans="1:7" x14ac:dyDescent="0.25">
      <c r="A14" s="16" t="s">
        <v>8</v>
      </c>
      <c r="B14" s="18">
        <v>21806004</v>
      </c>
      <c r="D14" s="9"/>
      <c r="E14" s="9"/>
      <c r="F14" s="9"/>
      <c r="G14" s="9"/>
    </row>
    <row r="15" spans="1:7" x14ac:dyDescent="0.25">
      <c r="A15" s="16" t="s">
        <v>9</v>
      </c>
      <c r="B15" s="18">
        <v>28580097</v>
      </c>
      <c r="D15" s="9"/>
      <c r="E15" s="9"/>
      <c r="F15" s="9"/>
      <c r="G15" s="9"/>
    </row>
    <row r="16" spans="1:7" x14ac:dyDescent="0.25">
      <c r="A16" s="24" t="s">
        <v>110</v>
      </c>
      <c r="B16" s="18">
        <v>16548895</v>
      </c>
      <c r="C16" s="14"/>
      <c r="D16" s="9"/>
      <c r="E16" s="9"/>
      <c r="F16" s="9"/>
      <c r="G16" s="9"/>
    </row>
    <row r="17" spans="1:7" x14ac:dyDescent="0.25">
      <c r="A17" s="16" t="s">
        <v>11</v>
      </c>
      <c r="B17" s="21">
        <v>12099831</v>
      </c>
      <c r="C17" s="9"/>
      <c r="D17" s="9"/>
      <c r="E17" s="9"/>
      <c r="F17" s="9"/>
      <c r="G17" s="9"/>
    </row>
    <row r="18" spans="1:7" x14ac:dyDescent="0.25">
      <c r="A18" s="19" t="s">
        <v>12</v>
      </c>
      <c r="B18" s="18">
        <v>8654451</v>
      </c>
      <c r="C18" s="9"/>
      <c r="D18" s="9"/>
      <c r="E18" s="9"/>
      <c r="F18" s="9"/>
      <c r="G18" s="9"/>
    </row>
    <row r="19" spans="1:7" x14ac:dyDescent="0.25">
      <c r="A19" s="16" t="s">
        <v>13</v>
      </c>
      <c r="B19" s="21">
        <v>24462890</v>
      </c>
      <c r="C19" s="9"/>
      <c r="D19" s="9"/>
      <c r="E19" s="9"/>
      <c r="F19" s="9"/>
      <c r="G19" s="9"/>
    </row>
    <row r="20" spans="1:7" x14ac:dyDescent="0.25">
      <c r="A20" s="19" t="s">
        <v>14</v>
      </c>
      <c r="B20" s="18">
        <v>16548853</v>
      </c>
      <c r="C20" s="9"/>
      <c r="D20" s="9"/>
      <c r="E20" s="9"/>
      <c r="F20" s="9"/>
      <c r="G20" s="9"/>
    </row>
    <row r="21" spans="1:7" x14ac:dyDescent="0.25">
      <c r="A21" s="24" t="s">
        <v>111</v>
      </c>
      <c r="B21" s="18">
        <v>22104086</v>
      </c>
      <c r="C21" s="9"/>
      <c r="D21" s="9"/>
      <c r="E21" s="9"/>
      <c r="F21" s="9"/>
      <c r="G21" s="9"/>
    </row>
    <row r="22" spans="1:7" x14ac:dyDescent="0.25">
      <c r="A22" s="16" t="s">
        <v>15</v>
      </c>
      <c r="B22" s="18">
        <v>17115884</v>
      </c>
      <c r="C22" s="9"/>
      <c r="D22" s="9"/>
      <c r="E22" s="9"/>
      <c r="F22" s="9"/>
      <c r="G22" s="9"/>
    </row>
    <row r="23" spans="1:7" x14ac:dyDescent="0.25">
      <c r="A23" s="16" t="s">
        <v>16</v>
      </c>
      <c r="B23" s="18">
        <v>12089682</v>
      </c>
      <c r="C23" s="9"/>
      <c r="D23" s="9"/>
      <c r="E23" s="9"/>
      <c r="F23" s="9"/>
      <c r="G23" s="9"/>
    </row>
    <row r="24" spans="1:7" x14ac:dyDescent="0.25">
      <c r="A24" s="16" t="s">
        <v>17</v>
      </c>
      <c r="B24" s="18">
        <v>36746850</v>
      </c>
      <c r="C24" s="9"/>
      <c r="D24" s="9"/>
      <c r="E24" s="9"/>
      <c r="F24" s="9"/>
      <c r="G24" s="9"/>
    </row>
    <row r="25" spans="1:7" x14ac:dyDescent="0.25">
      <c r="A25" s="19" t="s">
        <v>18</v>
      </c>
      <c r="B25" s="21">
        <v>18710882</v>
      </c>
      <c r="C25" s="9"/>
      <c r="D25" s="9"/>
      <c r="E25" s="9"/>
      <c r="F25" s="9"/>
      <c r="G25" s="9"/>
    </row>
    <row r="26" spans="1:7" x14ac:dyDescent="0.25">
      <c r="A26" s="19" t="s">
        <v>19</v>
      </c>
      <c r="B26" s="18">
        <v>16726686</v>
      </c>
      <c r="C26" s="9"/>
      <c r="D26" s="9"/>
      <c r="E26" s="9"/>
      <c r="F26" s="9"/>
      <c r="G26" s="9"/>
    </row>
    <row r="27" spans="1:7" x14ac:dyDescent="0.25">
      <c r="A27" s="16" t="s">
        <v>20</v>
      </c>
      <c r="B27" s="18">
        <v>8651293</v>
      </c>
      <c r="C27" s="9"/>
      <c r="D27" s="9"/>
      <c r="E27" s="9"/>
      <c r="F27" s="9"/>
      <c r="G27" s="9"/>
    </row>
    <row r="28" spans="1:7" x14ac:dyDescent="0.25">
      <c r="A28" s="16" t="s">
        <v>21</v>
      </c>
      <c r="B28" s="21">
        <v>26370203</v>
      </c>
      <c r="C28" s="9"/>
      <c r="D28" s="9"/>
      <c r="E28" s="9"/>
      <c r="F28" s="9"/>
      <c r="G28" s="9"/>
    </row>
    <row r="29" spans="1:7" x14ac:dyDescent="0.25">
      <c r="A29" s="19" t="s">
        <v>22</v>
      </c>
      <c r="B29" s="18">
        <v>16038029</v>
      </c>
      <c r="C29" s="9"/>
      <c r="D29" s="9"/>
      <c r="E29" s="9"/>
      <c r="F29" s="9"/>
      <c r="G29" s="9"/>
    </row>
    <row r="30" spans="1:7" x14ac:dyDescent="0.25">
      <c r="A30" s="16" t="s">
        <v>103</v>
      </c>
      <c r="B30" s="18">
        <v>31843161</v>
      </c>
      <c r="C30" s="9"/>
      <c r="D30" s="9"/>
      <c r="E30" s="9"/>
      <c r="F30" s="9"/>
      <c r="G30" s="9"/>
    </row>
    <row r="31" spans="1:7" x14ac:dyDescent="0.25">
      <c r="A31" s="20" t="s">
        <v>113</v>
      </c>
      <c r="B31" s="21">
        <v>24259931</v>
      </c>
      <c r="C31" s="9"/>
      <c r="D31" s="9"/>
      <c r="E31" s="9"/>
      <c r="F31" s="9"/>
      <c r="G31" s="9"/>
    </row>
    <row r="32" spans="1:7" x14ac:dyDescent="0.25">
      <c r="A32" s="16" t="s">
        <v>23</v>
      </c>
      <c r="B32" s="18">
        <v>21409266</v>
      </c>
      <c r="C32" s="9"/>
      <c r="D32" s="9"/>
      <c r="E32" s="9"/>
      <c r="F32" s="9"/>
      <c r="G32" s="9"/>
    </row>
    <row r="33" spans="1:7" x14ac:dyDescent="0.25">
      <c r="A33" s="16" t="s">
        <v>24</v>
      </c>
      <c r="B33" s="18">
        <v>11649118</v>
      </c>
      <c r="C33" s="9"/>
      <c r="D33" s="9"/>
      <c r="E33" s="9"/>
      <c r="F33" s="9"/>
      <c r="G33" s="9"/>
    </row>
    <row r="34" spans="1:7" x14ac:dyDescent="0.25">
      <c r="A34" s="16" t="s">
        <v>25</v>
      </c>
      <c r="B34" s="18">
        <v>23278527</v>
      </c>
      <c r="C34" s="9"/>
      <c r="D34" s="9"/>
      <c r="E34" s="9"/>
      <c r="F34" s="9"/>
      <c r="G34" s="9"/>
    </row>
    <row r="35" spans="1:7" x14ac:dyDescent="0.25">
      <c r="A35" s="16" t="s">
        <v>26</v>
      </c>
      <c r="B35" s="18">
        <v>18259436</v>
      </c>
    </row>
    <row r="36" spans="1:7" x14ac:dyDescent="0.25">
      <c r="A36" s="19" t="s">
        <v>27</v>
      </c>
      <c r="B36" s="18">
        <v>21409540</v>
      </c>
    </row>
    <row r="37" spans="1:7" x14ac:dyDescent="0.25">
      <c r="A37" s="19" t="s">
        <v>28</v>
      </c>
      <c r="B37" s="21">
        <v>32888789</v>
      </c>
    </row>
    <row r="38" spans="1:7" x14ac:dyDescent="0.25">
      <c r="A38" s="16" t="s">
        <v>29</v>
      </c>
      <c r="B38" s="18">
        <v>13618919</v>
      </c>
    </row>
    <row r="39" spans="1:7" x14ac:dyDescent="0.25">
      <c r="A39" s="19" t="s">
        <v>105</v>
      </c>
      <c r="B39" s="18">
        <v>6699866</v>
      </c>
    </row>
    <row r="40" spans="1:7" x14ac:dyDescent="0.25">
      <c r="A40" s="16" t="s">
        <v>30</v>
      </c>
      <c r="B40" s="18">
        <v>27682010</v>
      </c>
    </row>
    <row r="41" spans="1:7" x14ac:dyDescent="0.25">
      <c r="A41" s="19" t="s">
        <v>31</v>
      </c>
      <c r="B41" s="18">
        <v>14876963</v>
      </c>
    </row>
    <row r="42" spans="1:7" x14ac:dyDescent="0.25">
      <c r="A42" s="16" t="s">
        <v>100</v>
      </c>
      <c r="B42" s="18">
        <v>24939938</v>
      </c>
    </row>
    <row r="43" spans="1:7" x14ac:dyDescent="0.25">
      <c r="A43" s="16" t="s">
        <v>32</v>
      </c>
      <c r="B43" s="18">
        <v>27535396</v>
      </c>
    </row>
    <row r="44" spans="1:7" x14ac:dyDescent="0.25">
      <c r="A44" s="16" t="s">
        <v>33</v>
      </c>
      <c r="B44" s="18">
        <v>18289138</v>
      </c>
    </row>
    <row r="45" spans="1:7" x14ac:dyDescent="0.25">
      <c r="A45" s="16" t="s">
        <v>34</v>
      </c>
      <c r="B45" s="18">
        <v>17639009</v>
      </c>
    </row>
    <row r="46" spans="1:7" x14ac:dyDescent="0.25">
      <c r="A46" s="16" t="s">
        <v>35</v>
      </c>
      <c r="B46" s="18">
        <v>23398016</v>
      </c>
    </row>
    <row r="47" spans="1:7" x14ac:dyDescent="0.25">
      <c r="A47" s="16" t="s">
        <v>36</v>
      </c>
      <c r="B47" s="18">
        <v>12019977</v>
      </c>
    </row>
    <row r="48" spans="1:7" x14ac:dyDescent="0.25">
      <c r="A48" s="16" t="s">
        <v>37</v>
      </c>
      <c r="B48" s="18">
        <v>4651293</v>
      </c>
    </row>
    <row r="49" spans="1:2" x14ac:dyDescent="0.25">
      <c r="A49" s="16" t="s">
        <v>38</v>
      </c>
      <c r="B49" s="18">
        <v>31044952</v>
      </c>
    </row>
    <row r="50" spans="1:2" x14ac:dyDescent="0.25">
      <c r="A50" s="16" t="s">
        <v>39</v>
      </c>
      <c r="B50" s="18">
        <v>32888614</v>
      </c>
    </row>
    <row r="51" spans="1:2" x14ac:dyDescent="0.25">
      <c r="A51" s="24" t="s">
        <v>112</v>
      </c>
      <c r="B51" s="18">
        <v>23763202</v>
      </c>
    </row>
    <row r="52" spans="1:2" x14ac:dyDescent="0.25">
      <c r="A52" s="16" t="s">
        <v>40</v>
      </c>
      <c r="B52" s="18">
        <v>32390939</v>
      </c>
    </row>
    <row r="53" spans="1:2" x14ac:dyDescent="0.25">
      <c r="A53" s="17" t="s">
        <v>43</v>
      </c>
      <c r="B53" s="18">
        <v>34737328</v>
      </c>
    </row>
    <row r="54" spans="1:2" x14ac:dyDescent="0.25">
      <c r="A54" s="19" t="s">
        <v>41</v>
      </c>
      <c r="B54" s="18">
        <v>16909161</v>
      </c>
    </row>
    <row r="55" spans="1:2" x14ac:dyDescent="0.25">
      <c r="A55" s="16" t="s">
        <v>42</v>
      </c>
      <c r="B55" s="18">
        <v>30063209</v>
      </c>
    </row>
    <row r="56" spans="1:2" x14ac:dyDescent="0.25">
      <c r="A56" s="25" t="s">
        <v>102</v>
      </c>
      <c r="B56" s="18">
        <v>36986968</v>
      </c>
    </row>
    <row r="57" spans="1:2" x14ac:dyDescent="0.25">
      <c r="A57" s="19" t="s">
        <v>106</v>
      </c>
      <c r="B57" s="18">
        <v>7974108</v>
      </c>
    </row>
    <row r="58" spans="1:2" x14ac:dyDescent="0.25">
      <c r="A58" s="16" t="s">
        <v>44</v>
      </c>
      <c r="B58" s="18">
        <v>16727062</v>
      </c>
    </row>
    <row r="59" spans="1:2" x14ac:dyDescent="0.25">
      <c r="A59" s="19" t="s">
        <v>45</v>
      </c>
      <c r="B59" s="21">
        <v>25105481</v>
      </c>
    </row>
    <row r="60" spans="1:2" x14ac:dyDescent="0.25">
      <c r="A60" s="16" t="s">
        <v>46</v>
      </c>
      <c r="B60" s="18">
        <v>36917565</v>
      </c>
    </row>
    <row r="61" spans="1:2" x14ac:dyDescent="0.25">
      <c r="A61" s="16" t="s">
        <v>47</v>
      </c>
      <c r="B61" s="18">
        <v>31250256</v>
      </c>
    </row>
    <row r="62" spans="1:2" x14ac:dyDescent="0.25">
      <c r="A62" s="16" t="s">
        <v>48</v>
      </c>
      <c r="B62" s="18">
        <v>27761958</v>
      </c>
    </row>
    <row r="63" spans="1:2" x14ac:dyDescent="0.25">
      <c r="A63" s="15" t="s">
        <v>49</v>
      </c>
      <c r="B63" s="18">
        <v>38019669</v>
      </c>
    </row>
    <row r="64" spans="1:2" x14ac:dyDescent="0.25">
      <c r="A64" s="16" t="s">
        <v>95</v>
      </c>
      <c r="B64" s="18">
        <v>18645940</v>
      </c>
    </row>
    <row r="65" spans="1:2" x14ac:dyDescent="0.25">
      <c r="A65" s="16" t="s">
        <v>50</v>
      </c>
      <c r="B65" s="18">
        <v>22104082</v>
      </c>
    </row>
    <row r="66" spans="1:2" x14ac:dyDescent="0.25">
      <c r="A66" s="16" t="s">
        <v>51</v>
      </c>
      <c r="B66" s="18">
        <v>14203968</v>
      </c>
    </row>
    <row r="67" spans="1:2" x14ac:dyDescent="0.25">
      <c r="A67" s="16" t="s">
        <v>52</v>
      </c>
      <c r="B67" s="18">
        <v>17583984</v>
      </c>
    </row>
    <row r="68" spans="1:2" x14ac:dyDescent="0.25">
      <c r="A68" s="16" t="s">
        <v>53</v>
      </c>
      <c r="B68" s="18">
        <v>34274582</v>
      </c>
    </row>
    <row r="69" spans="1:2" x14ac:dyDescent="0.25">
      <c r="A69" s="16" t="s">
        <v>98</v>
      </c>
      <c r="B69" s="18">
        <v>30702133</v>
      </c>
    </row>
    <row r="70" spans="1:2" x14ac:dyDescent="0.25">
      <c r="A70" s="16" t="s">
        <v>54</v>
      </c>
      <c r="B70" s="18">
        <v>18645961</v>
      </c>
    </row>
    <row r="71" spans="1:2" x14ac:dyDescent="0.25">
      <c r="A71" s="23" t="s">
        <v>109</v>
      </c>
      <c r="B71" s="18">
        <v>14948955</v>
      </c>
    </row>
    <row r="72" spans="1:2" x14ac:dyDescent="0.25">
      <c r="A72" s="19" t="s">
        <v>55</v>
      </c>
      <c r="B72" s="18">
        <v>16038050</v>
      </c>
    </row>
    <row r="73" spans="1:2" x14ac:dyDescent="0.25">
      <c r="A73" s="24" t="s">
        <v>104</v>
      </c>
      <c r="B73" s="18">
        <v>6494294</v>
      </c>
    </row>
    <row r="74" spans="1:2" x14ac:dyDescent="0.25">
      <c r="A74" s="17" t="s">
        <v>56</v>
      </c>
      <c r="B74" s="21">
        <v>21408882</v>
      </c>
    </row>
    <row r="75" spans="1:2" x14ac:dyDescent="0.25">
      <c r="A75" s="16" t="s">
        <v>57</v>
      </c>
      <c r="B75" s="18">
        <v>31602867</v>
      </c>
    </row>
    <row r="76" spans="1:2" x14ac:dyDescent="0.25">
      <c r="A76" s="26" t="s">
        <v>58</v>
      </c>
      <c r="B76" s="18">
        <v>27125470</v>
      </c>
    </row>
    <row r="77" spans="1:2" x14ac:dyDescent="0.25">
      <c r="A77" s="19" t="s">
        <v>59</v>
      </c>
      <c r="B77" s="18">
        <v>14928818</v>
      </c>
    </row>
    <row r="78" spans="1:2" x14ac:dyDescent="0.25">
      <c r="A78" s="19" t="s">
        <v>60</v>
      </c>
      <c r="B78" s="18">
        <v>14153918</v>
      </c>
    </row>
    <row r="79" spans="1:2" x14ac:dyDescent="0.25">
      <c r="A79" s="19" t="s">
        <v>61</v>
      </c>
      <c r="B79" s="21">
        <v>22104026</v>
      </c>
    </row>
    <row r="80" spans="1:2" x14ac:dyDescent="0.25">
      <c r="A80" s="16" t="s">
        <v>62</v>
      </c>
      <c r="B80" s="18">
        <v>27034243</v>
      </c>
    </row>
    <row r="81" spans="1:2" x14ac:dyDescent="0.25">
      <c r="A81" s="16" t="s">
        <v>63</v>
      </c>
      <c r="B81" s="18">
        <v>34274588</v>
      </c>
    </row>
    <row r="82" spans="1:2" x14ac:dyDescent="0.25">
      <c r="A82" s="16" t="s">
        <v>64</v>
      </c>
      <c r="B82" s="18">
        <v>16548882</v>
      </c>
    </row>
    <row r="83" spans="1:2" x14ac:dyDescent="0.25">
      <c r="A83" s="16" t="s">
        <v>65</v>
      </c>
      <c r="B83" s="18">
        <v>35529545</v>
      </c>
    </row>
    <row r="84" spans="1:2" x14ac:dyDescent="0.25">
      <c r="A84" s="16" t="s">
        <v>66</v>
      </c>
      <c r="B84" s="18">
        <v>21806032</v>
      </c>
    </row>
    <row r="85" spans="1:2" x14ac:dyDescent="0.25">
      <c r="A85" s="16" t="s">
        <v>101</v>
      </c>
      <c r="B85" s="18">
        <v>24221323</v>
      </c>
    </row>
    <row r="86" spans="1:2" x14ac:dyDescent="0.25">
      <c r="A86" s="16" t="s">
        <v>67</v>
      </c>
      <c r="B86" s="18">
        <v>29452541</v>
      </c>
    </row>
    <row r="87" spans="1:2" x14ac:dyDescent="0.25">
      <c r="A87" s="19" t="s">
        <v>68</v>
      </c>
      <c r="B87" s="18">
        <v>36917569</v>
      </c>
    </row>
    <row r="88" spans="1:2" x14ac:dyDescent="0.25">
      <c r="A88" s="16" t="s">
        <v>69</v>
      </c>
      <c r="B88" s="18">
        <v>25309161</v>
      </c>
    </row>
    <row r="89" spans="1:2" x14ac:dyDescent="0.25">
      <c r="A89" s="16" t="s">
        <v>70</v>
      </c>
      <c r="B89" s="18">
        <v>23414868</v>
      </c>
    </row>
    <row r="90" spans="1:2" x14ac:dyDescent="0.25">
      <c r="A90" s="16" t="s">
        <v>71</v>
      </c>
      <c r="B90" s="18">
        <v>30063246</v>
      </c>
    </row>
    <row r="91" spans="1:2" x14ac:dyDescent="0.25">
      <c r="A91" s="16" t="s">
        <v>72</v>
      </c>
      <c r="B91" s="18">
        <v>11067046</v>
      </c>
    </row>
    <row r="92" spans="1:2" x14ac:dyDescent="0.25">
      <c r="A92" s="16" t="s">
        <v>99</v>
      </c>
      <c r="B92" s="18">
        <v>34274684</v>
      </c>
    </row>
    <row r="93" spans="1:2" x14ac:dyDescent="0.25">
      <c r="A93" s="16" t="s">
        <v>73</v>
      </c>
      <c r="B93" s="18">
        <v>17328623</v>
      </c>
    </row>
    <row r="94" spans="1:2" x14ac:dyDescent="0.25">
      <c r="A94" s="16" t="s">
        <v>74</v>
      </c>
      <c r="B94" s="18">
        <v>31833121</v>
      </c>
    </row>
    <row r="95" spans="1:2" x14ac:dyDescent="0.25">
      <c r="A95" s="19" t="s">
        <v>75</v>
      </c>
      <c r="B95" s="22">
        <v>14427992</v>
      </c>
    </row>
    <row r="96" spans="1:2" x14ac:dyDescent="0.25">
      <c r="A96" s="24" t="s">
        <v>107</v>
      </c>
      <c r="B96" s="18">
        <v>10188932</v>
      </c>
    </row>
    <row r="97" spans="1:2" x14ac:dyDescent="0.25">
      <c r="A97" s="19" t="s">
        <v>76</v>
      </c>
      <c r="B97" s="18">
        <v>16038030</v>
      </c>
    </row>
    <row r="98" spans="1:2" x14ac:dyDescent="0.25">
      <c r="A98" s="16" t="s">
        <v>77</v>
      </c>
      <c r="B98" s="18">
        <v>18095667</v>
      </c>
    </row>
    <row r="99" spans="1:2" x14ac:dyDescent="0.25">
      <c r="A99" s="16" t="s">
        <v>78</v>
      </c>
      <c r="B99" s="18">
        <v>25628735</v>
      </c>
    </row>
    <row r="100" spans="1:2" x14ac:dyDescent="0.25">
      <c r="A100" s="16" t="s">
        <v>79</v>
      </c>
      <c r="B100" s="18">
        <v>11050259</v>
      </c>
    </row>
    <row r="101" spans="1:2" x14ac:dyDescent="0.25">
      <c r="A101" s="16" t="s">
        <v>80</v>
      </c>
      <c r="B101" s="18">
        <v>21806097</v>
      </c>
    </row>
    <row r="102" spans="1:2" x14ac:dyDescent="0.25">
      <c r="A102" s="24" t="s">
        <v>81</v>
      </c>
      <c r="B102" s="18">
        <v>36917538</v>
      </c>
    </row>
    <row r="103" spans="1:2" x14ac:dyDescent="0.25">
      <c r="A103" s="19" t="s">
        <v>82</v>
      </c>
      <c r="B103" s="18">
        <v>12019925</v>
      </c>
    </row>
    <row r="104" spans="1:2" x14ac:dyDescent="0.25">
      <c r="A104" s="19" t="s">
        <v>83</v>
      </c>
      <c r="B104" s="18">
        <v>20397351</v>
      </c>
    </row>
    <row r="105" spans="1:2" x14ac:dyDescent="0.25">
      <c r="A105" s="16" t="s">
        <v>96</v>
      </c>
      <c r="B105" s="21">
        <v>29069024</v>
      </c>
    </row>
    <row r="106" spans="1:2" x14ac:dyDescent="0.25">
      <c r="A106" s="16" t="s">
        <v>97</v>
      </c>
      <c r="B106" s="21">
        <v>18595248</v>
      </c>
    </row>
    <row r="107" spans="1:2" x14ac:dyDescent="0.25">
      <c r="A107" s="16" t="s">
        <v>84</v>
      </c>
      <c r="B107" s="18">
        <v>11171223</v>
      </c>
    </row>
    <row r="108" spans="1:2" x14ac:dyDescent="0.25">
      <c r="A108" s="19" t="s">
        <v>85</v>
      </c>
      <c r="B108" s="18">
        <v>16909200</v>
      </c>
    </row>
    <row r="109" spans="1:2" x14ac:dyDescent="0.25">
      <c r="A109" s="16" t="s">
        <v>86</v>
      </c>
      <c r="B109" s="18">
        <v>18645949</v>
      </c>
    </row>
    <row r="110" spans="1:2" x14ac:dyDescent="0.25">
      <c r="A110" s="16" t="s">
        <v>87</v>
      </c>
      <c r="B110" s="18">
        <v>18645935</v>
      </c>
    </row>
    <row r="111" spans="1:2" x14ac:dyDescent="0.25">
      <c r="A111" s="19" t="s">
        <v>88</v>
      </c>
      <c r="B111" s="18">
        <v>8359661</v>
      </c>
    </row>
    <row r="112" spans="1:2" x14ac:dyDescent="0.25">
      <c r="A112" s="16" t="s">
        <v>89</v>
      </c>
      <c r="B112" s="18">
        <v>16909153</v>
      </c>
    </row>
    <row r="113" spans="1:2" x14ac:dyDescent="0.25">
      <c r="A113" s="19" t="s">
        <v>90</v>
      </c>
      <c r="B113" s="18">
        <v>10430703</v>
      </c>
    </row>
    <row r="114" spans="1:2" x14ac:dyDescent="0.25">
      <c r="A114" s="19" t="s">
        <v>91</v>
      </c>
      <c r="B114" s="21">
        <v>22104089</v>
      </c>
    </row>
    <row r="115" spans="1:2" x14ac:dyDescent="0.25">
      <c r="A115" s="19" t="s">
        <v>92</v>
      </c>
      <c r="B115" s="21">
        <v>26301987</v>
      </c>
    </row>
    <row r="116" spans="1:2" x14ac:dyDescent="0.25">
      <c r="A116" s="16" t="s">
        <v>93</v>
      </c>
      <c r="B116" s="18">
        <v>33293315</v>
      </c>
    </row>
  </sheetData>
  <sortState ref="A2:B113">
    <sortCondition ref="A2:A113"/>
  </sortState>
  <dataValidations count="2">
    <dataValidation type="list" allowBlank="1" showInputMessage="1" showErrorMessage="1" sqref="A128">
      <formula1>TODOS</formula1>
    </dataValidation>
    <dataValidation type="list" allowBlank="1" showInputMessage="1" showErrorMessage="1" sqref="A77:A78 A108:A109">
      <formula1>personal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679"/>
  <sheetViews>
    <sheetView tabSelected="1" workbookViewId="0">
      <pane ySplit="1" topLeftCell="A665" activePane="bottomLeft" state="frozen"/>
      <selection activeCell="G1" sqref="G1"/>
      <selection pane="bottomLeft" activeCell="A680" sqref="A680"/>
    </sheetView>
  </sheetViews>
  <sheetFormatPr baseColWidth="10" defaultRowHeight="13.2" x14ac:dyDescent="0.25"/>
  <cols>
    <col min="1" max="1" width="29.44140625" bestFit="1" customWidth="1"/>
    <col min="2" max="2" width="13.5546875" style="8" bestFit="1" customWidth="1"/>
    <col min="3" max="3" width="11.6640625" style="46" bestFit="1" customWidth="1"/>
    <col min="4" max="6" width="80" customWidth="1"/>
    <col min="7" max="7" width="80.109375" customWidth="1"/>
    <col min="8" max="9" width="80" customWidth="1"/>
    <col min="10" max="10" width="23.5546875" bestFit="1" customWidth="1"/>
    <col min="11" max="11" width="11.44140625" customWidth="1"/>
    <col min="12" max="12" width="16.44140625" bestFit="1" customWidth="1"/>
    <col min="13" max="13" width="20.5546875" bestFit="1" customWidth="1"/>
    <col min="15" max="15" width="11.44140625" style="57"/>
  </cols>
  <sheetData>
    <row r="1" spans="1:15" s="8" customFormat="1" x14ac:dyDescent="0.25">
      <c r="A1" s="33" t="s">
        <v>574</v>
      </c>
      <c r="B1" s="33" t="s">
        <v>130</v>
      </c>
      <c r="C1" s="47" t="s">
        <v>131</v>
      </c>
      <c r="D1" s="8" t="s">
        <v>146</v>
      </c>
      <c r="E1" s="8" t="s">
        <v>147</v>
      </c>
      <c r="F1" s="8" t="s">
        <v>148</v>
      </c>
      <c r="G1" s="8" t="s">
        <v>1463</v>
      </c>
      <c r="H1" s="8" t="s">
        <v>1464</v>
      </c>
      <c r="I1" s="8" t="s">
        <v>1465</v>
      </c>
      <c r="J1" s="8" t="s">
        <v>138</v>
      </c>
      <c r="K1" s="8" t="s">
        <v>142</v>
      </c>
      <c r="L1" s="8" t="s">
        <v>139</v>
      </c>
      <c r="M1" s="8" t="s">
        <v>140</v>
      </c>
      <c r="N1" s="8" t="s">
        <v>579</v>
      </c>
      <c r="O1" s="58" t="s">
        <v>784</v>
      </c>
    </row>
    <row r="2" spans="1:15" ht="26.4" x14ac:dyDescent="0.25">
      <c r="A2" s="34" t="s">
        <v>2</v>
      </c>
      <c r="B2" s="18">
        <v>25105469</v>
      </c>
      <c r="C2" s="37">
        <f>31*7*15.25+14*15.25+7*15.25+76.25+20*20</f>
        <v>4105.75</v>
      </c>
      <c r="D2" s="36" t="s">
        <v>160</v>
      </c>
      <c r="E2" s="36" t="s">
        <v>155</v>
      </c>
      <c r="F2" s="36" t="s">
        <v>159</v>
      </c>
      <c r="G2" s="36" t="s">
        <v>163</v>
      </c>
      <c r="H2" s="36" t="s">
        <v>163</v>
      </c>
      <c r="I2" s="36" t="s">
        <v>163</v>
      </c>
      <c r="J2" s="35" t="s">
        <v>157</v>
      </c>
      <c r="K2" s="35" t="s">
        <v>143</v>
      </c>
      <c r="L2" t="s">
        <v>141</v>
      </c>
      <c r="M2" s="35" t="s">
        <v>158</v>
      </c>
    </row>
    <row r="3" spans="1:15" ht="26.4" x14ac:dyDescent="0.25">
      <c r="A3" s="34" t="s">
        <v>2</v>
      </c>
      <c r="B3" s="18">
        <v>25105469</v>
      </c>
      <c r="C3" s="37">
        <f>208*15.25+20*45</f>
        <v>4072</v>
      </c>
      <c r="D3" s="36" t="s">
        <v>210</v>
      </c>
      <c r="E3" s="36" t="s">
        <v>155</v>
      </c>
      <c r="F3" s="36" t="s">
        <v>159</v>
      </c>
      <c r="G3" s="36" t="s">
        <v>163</v>
      </c>
      <c r="H3" s="36" t="s">
        <v>163</v>
      </c>
      <c r="I3" s="36" t="s">
        <v>163</v>
      </c>
      <c r="J3" s="35" t="s">
        <v>157</v>
      </c>
      <c r="K3" s="35" t="s">
        <v>143</v>
      </c>
      <c r="L3" t="s">
        <v>141</v>
      </c>
      <c r="M3" s="35" t="s">
        <v>158</v>
      </c>
    </row>
    <row r="4" spans="1:15" ht="26.4" x14ac:dyDescent="0.25">
      <c r="A4" s="34" t="s">
        <v>175</v>
      </c>
      <c r="B4" s="18">
        <v>22203958</v>
      </c>
      <c r="C4" s="37">
        <f>128*15.25</f>
        <v>1952</v>
      </c>
      <c r="D4" s="36" t="s">
        <v>176</v>
      </c>
      <c r="E4" s="36" t="s">
        <v>163</v>
      </c>
      <c r="F4" s="36" t="s">
        <v>159</v>
      </c>
      <c r="G4" s="36" t="s">
        <v>163</v>
      </c>
      <c r="H4" s="36" t="s">
        <v>163</v>
      </c>
      <c r="I4" s="36" t="s">
        <v>163</v>
      </c>
      <c r="J4" s="35" t="s">
        <v>157</v>
      </c>
      <c r="K4" s="35" t="s">
        <v>143</v>
      </c>
      <c r="L4" t="s">
        <v>141</v>
      </c>
      <c r="M4" s="35" t="s">
        <v>158</v>
      </c>
    </row>
    <row r="5" spans="1:15" ht="26.4" x14ac:dyDescent="0.25">
      <c r="A5" s="34" t="s">
        <v>175</v>
      </c>
      <c r="B5" s="18">
        <v>22203958</v>
      </c>
      <c r="C5" s="37">
        <f>110*15.25</f>
        <v>1677.5</v>
      </c>
      <c r="D5" s="36" t="s">
        <v>220</v>
      </c>
      <c r="E5" s="36" t="s">
        <v>163</v>
      </c>
      <c r="F5" s="36" t="s">
        <v>159</v>
      </c>
      <c r="G5" s="36" t="s">
        <v>163</v>
      </c>
      <c r="H5" s="36" t="s">
        <v>163</v>
      </c>
      <c r="I5" s="36" t="s">
        <v>163</v>
      </c>
      <c r="J5" s="35" t="s">
        <v>157</v>
      </c>
      <c r="K5" s="35" t="s">
        <v>143</v>
      </c>
      <c r="L5" t="s">
        <v>141</v>
      </c>
      <c r="M5" s="35" t="s">
        <v>158</v>
      </c>
    </row>
    <row r="6" spans="1:15" ht="26.4" x14ac:dyDescent="0.25">
      <c r="A6" s="34" t="s">
        <v>200</v>
      </c>
      <c r="B6" s="18">
        <v>10042836</v>
      </c>
      <c r="C6" s="37">
        <v>6000</v>
      </c>
      <c r="D6" s="36" t="s">
        <v>201</v>
      </c>
      <c r="E6" s="36" t="s">
        <v>202</v>
      </c>
      <c r="F6" s="36" t="s">
        <v>159</v>
      </c>
      <c r="G6" s="36" t="s">
        <v>163</v>
      </c>
      <c r="H6" s="36" t="s">
        <v>163</v>
      </c>
      <c r="I6" s="36" t="s">
        <v>163</v>
      </c>
      <c r="J6" s="35" t="s">
        <v>203</v>
      </c>
      <c r="K6" s="35">
        <v>1490</v>
      </c>
      <c r="L6" t="s">
        <v>204</v>
      </c>
      <c r="M6" s="35" t="s">
        <v>204</v>
      </c>
    </row>
    <row r="7" spans="1:15" ht="26.4" x14ac:dyDescent="0.25">
      <c r="A7" s="34" t="s">
        <v>103</v>
      </c>
      <c r="B7" s="18">
        <v>31843161</v>
      </c>
      <c r="C7" s="37">
        <f>49*15.25</f>
        <v>747.25</v>
      </c>
      <c r="D7" s="36" t="s">
        <v>223</v>
      </c>
      <c r="E7" s="36" t="s">
        <v>163</v>
      </c>
      <c r="F7" s="36" t="s">
        <v>159</v>
      </c>
      <c r="G7" s="36" t="s">
        <v>163</v>
      </c>
      <c r="H7" s="36" t="s">
        <v>163</v>
      </c>
      <c r="I7" s="36" t="s">
        <v>163</v>
      </c>
      <c r="J7" s="35" t="s">
        <v>157</v>
      </c>
      <c r="K7" s="35" t="s">
        <v>143</v>
      </c>
      <c r="L7" t="s">
        <v>141</v>
      </c>
      <c r="M7" s="35" t="s">
        <v>158</v>
      </c>
    </row>
    <row r="8" spans="1:15" ht="26.4" x14ac:dyDescent="0.25">
      <c r="A8" s="34" t="s">
        <v>133</v>
      </c>
      <c r="B8" s="18">
        <v>16909166</v>
      </c>
      <c r="C8" s="37">
        <f>15.25*7*31</f>
        <v>3309.25</v>
      </c>
      <c r="D8" s="36" t="s">
        <v>167</v>
      </c>
      <c r="E8" s="36" t="s">
        <v>163</v>
      </c>
      <c r="F8" s="36" t="s">
        <v>159</v>
      </c>
      <c r="G8" s="36" t="s">
        <v>163</v>
      </c>
      <c r="H8" s="36" t="s">
        <v>163</v>
      </c>
      <c r="I8" s="36" t="s">
        <v>163</v>
      </c>
      <c r="J8" s="35" t="s">
        <v>157</v>
      </c>
      <c r="K8" s="35" t="s">
        <v>143</v>
      </c>
      <c r="L8" t="s">
        <v>141</v>
      </c>
      <c r="M8" s="35" t="s">
        <v>158</v>
      </c>
    </row>
    <row r="9" spans="1:15" ht="26.4" x14ac:dyDescent="0.25">
      <c r="A9" s="34" t="s">
        <v>133</v>
      </c>
      <c r="B9" s="18">
        <v>16909166</v>
      </c>
      <c r="C9" s="37">
        <f>298*15.25</f>
        <v>4544.5</v>
      </c>
      <c r="D9" s="36" t="s">
        <v>217</v>
      </c>
      <c r="E9" s="36" t="s">
        <v>163</v>
      </c>
      <c r="F9" s="36" t="s">
        <v>159</v>
      </c>
      <c r="G9" s="36" t="s">
        <v>163</v>
      </c>
      <c r="H9" s="36" t="s">
        <v>163</v>
      </c>
      <c r="I9" s="36" t="s">
        <v>163</v>
      </c>
      <c r="J9" s="35" t="s">
        <v>157</v>
      </c>
      <c r="K9" s="35" t="s">
        <v>143</v>
      </c>
      <c r="L9" t="s">
        <v>141</v>
      </c>
      <c r="M9" s="35" t="s">
        <v>158</v>
      </c>
    </row>
    <row r="10" spans="1:15" ht="26.4" x14ac:dyDescent="0.25">
      <c r="A10" s="34" t="s">
        <v>182</v>
      </c>
      <c r="B10" s="18">
        <v>18443519</v>
      </c>
      <c r="C10" s="37">
        <f>1500+2200</f>
        <v>3700</v>
      </c>
      <c r="D10" s="36" t="s">
        <v>183</v>
      </c>
      <c r="E10" s="36" t="s">
        <v>185</v>
      </c>
      <c r="F10" s="36" t="s">
        <v>184</v>
      </c>
      <c r="G10" s="36" t="s">
        <v>163</v>
      </c>
      <c r="H10" s="36" t="s">
        <v>163</v>
      </c>
      <c r="I10" s="36" t="s">
        <v>163</v>
      </c>
      <c r="J10" s="35" t="s">
        <v>186</v>
      </c>
      <c r="K10" s="35" t="s">
        <v>143</v>
      </c>
      <c r="L10" t="s">
        <v>187</v>
      </c>
      <c r="M10" s="35" t="s">
        <v>188</v>
      </c>
    </row>
    <row r="11" spans="1:15" ht="26.4" x14ac:dyDescent="0.25">
      <c r="A11" s="34" t="s">
        <v>177</v>
      </c>
      <c r="B11" s="18">
        <v>22785188</v>
      </c>
      <c r="C11" s="37">
        <v>9000</v>
      </c>
      <c r="D11" s="36" t="s">
        <v>181</v>
      </c>
      <c r="E11" s="36" t="s">
        <v>180</v>
      </c>
      <c r="F11" s="36" t="s">
        <v>159</v>
      </c>
      <c r="G11" s="36" t="s">
        <v>163</v>
      </c>
      <c r="H11" s="36" t="s">
        <v>163</v>
      </c>
      <c r="I11" s="36" t="s">
        <v>163</v>
      </c>
      <c r="J11" s="35" t="s">
        <v>178</v>
      </c>
      <c r="K11" s="35">
        <v>75</v>
      </c>
      <c r="L11" t="s">
        <v>179</v>
      </c>
      <c r="M11" s="35" t="s">
        <v>179</v>
      </c>
    </row>
    <row r="12" spans="1:15" ht="26.4" x14ac:dyDescent="0.25">
      <c r="A12" s="34" t="s">
        <v>172</v>
      </c>
      <c r="B12" s="18">
        <v>14203979</v>
      </c>
      <c r="C12" s="37">
        <f>110.5*15.25</f>
        <v>1685.125</v>
      </c>
      <c r="D12" s="36" t="s">
        <v>174</v>
      </c>
      <c r="E12" s="36" t="s">
        <v>163</v>
      </c>
      <c r="F12" s="36" t="s">
        <v>159</v>
      </c>
      <c r="G12" s="36" t="s">
        <v>163</v>
      </c>
      <c r="H12" s="36" t="s">
        <v>163</v>
      </c>
      <c r="I12" s="36" t="s">
        <v>163</v>
      </c>
      <c r="J12" s="35" t="s">
        <v>157</v>
      </c>
      <c r="K12" s="35" t="s">
        <v>143</v>
      </c>
      <c r="L12" t="s">
        <v>141</v>
      </c>
      <c r="M12" s="35" t="s">
        <v>158</v>
      </c>
    </row>
    <row r="13" spans="1:15" ht="26.4" x14ac:dyDescent="0.25">
      <c r="A13" s="34" t="s">
        <v>172</v>
      </c>
      <c r="B13" s="18">
        <v>14203979</v>
      </c>
      <c r="C13" s="37">
        <f>100.5*15.25</f>
        <v>1532.625</v>
      </c>
      <c r="D13" s="36" t="s">
        <v>222</v>
      </c>
      <c r="E13" s="36" t="s">
        <v>163</v>
      </c>
      <c r="F13" s="36" t="s">
        <v>159</v>
      </c>
      <c r="G13" s="36" t="s">
        <v>163</v>
      </c>
      <c r="H13" s="36" t="s">
        <v>163</v>
      </c>
      <c r="I13" s="36" t="s">
        <v>163</v>
      </c>
      <c r="J13" s="35" t="s">
        <v>157</v>
      </c>
      <c r="K13" s="35" t="s">
        <v>143</v>
      </c>
      <c r="L13" t="s">
        <v>141</v>
      </c>
      <c r="M13" s="35" t="s">
        <v>158</v>
      </c>
    </row>
    <row r="14" spans="1:15" ht="26.4" x14ac:dyDescent="0.25">
      <c r="A14" s="34" t="s">
        <v>100</v>
      </c>
      <c r="B14" s="18">
        <v>24939938</v>
      </c>
      <c r="C14" s="37">
        <f>31*7*15.25+14*15.25+7*15.25</f>
        <v>3629.5</v>
      </c>
      <c r="D14" s="36" t="s">
        <v>164</v>
      </c>
      <c r="E14" s="36" t="s">
        <v>163</v>
      </c>
      <c r="F14" s="36" t="s">
        <v>159</v>
      </c>
      <c r="G14" s="36" t="s">
        <v>163</v>
      </c>
      <c r="H14" s="36" t="s">
        <v>163</v>
      </c>
      <c r="I14" s="36" t="s">
        <v>163</v>
      </c>
      <c r="J14" s="35" t="s">
        <v>157</v>
      </c>
      <c r="K14" s="35" t="s">
        <v>143</v>
      </c>
      <c r="L14" t="s">
        <v>141</v>
      </c>
      <c r="M14" s="35" t="s">
        <v>158</v>
      </c>
    </row>
    <row r="15" spans="1:15" ht="26.4" x14ac:dyDescent="0.25">
      <c r="A15" s="34" t="s">
        <v>100</v>
      </c>
      <c r="B15" s="18">
        <v>24939938</v>
      </c>
      <c r="C15" s="37">
        <f>208*15.25</f>
        <v>3172</v>
      </c>
      <c r="D15" s="36" t="s">
        <v>213</v>
      </c>
      <c r="E15" s="36" t="s">
        <v>163</v>
      </c>
      <c r="F15" s="36" t="s">
        <v>159</v>
      </c>
      <c r="G15" s="36" t="s">
        <v>163</v>
      </c>
      <c r="H15" s="36" t="s">
        <v>163</v>
      </c>
      <c r="I15" s="36" t="s">
        <v>163</v>
      </c>
      <c r="J15" s="35" t="s">
        <v>157</v>
      </c>
      <c r="K15" s="35" t="s">
        <v>143</v>
      </c>
      <c r="L15" t="s">
        <v>141</v>
      </c>
      <c r="M15" s="35" t="s">
        <v>158</v>
      </c>
    </row>
    <row r="16" spans="1:15" ht="26.4" x14ac:dyDescent="0.25">
      <c r="A16" s="34" t="s">
        <v>136</v>
      </c>
      <c r="B16" s="18">
        <v>30941488</v>
      </c>
      <c r="C16" s="37">
        <f>31*7*15.25+14*15.25+7*15.25</f>
        <v>3629.5</v>
      </c>
      <c r="D16" s="36" t="s">
        <v>164</v>
      </c>
      <c r="E16" s="36" t="s">
        <v>163</v>
      </c>
      <c r="F16" s="36" t="s">
        <v>159</v>
      </c>
      <c r="G16" s="36" t="s">
        <v>163</v>
      </c>
      <c r="H16" s="36" t="s">
        <v>163</v>
      </c>
      <c r="I16" s="36" t="s">
        <v>163</v>
      </c>
      <c r="J16" s="35" t="s">
        <v>157</v>
      </c>
      <c r="K16" s="35" t="s">
        <v>143</v>
      </c>
      <c r="L16" t="s">
        <v>141</v>
      </c>
      <c r="M16" s="35" t="s">
        <v>158</v>
      </c>
    </row>
    <row r="17" spans="1:13" ht="26.4" x14ac:dyDescent="0.25">
      <c r="A17" s="34" t="s">
        <v>136</v>
      </c>
      <c r="B17" s="18">
        <v>30941488</v>
      </c>
      <c r="C17" s="37">
        <f>31*7*15.25+14*15.25+7*15.25</f>
        <v>3629.5</v>
      </c>
      <c r="D17" s="36" t="s">
        <v>219</v>
      </c>
      <c r="E17" s="36" t="s">
        <v>163</v>
      </c>
      <c r="F17" s="36" t="s">
        <v>159</v>
      </c>
      <c r="G17" s="36" t="s">
        <v>163</v>
      </c>
      <c r="H17" s="36" t="s">
        <v>163</v>
      </c>
      <c r="I17" s="36" t="s">
        <v>163</v>
      </c>
      <c r="J17" s="35" t="s">
        <v>157</v>
      </c>
      <c r="K17" s="35" t="s">
        <v>143</v>
      </c>
      <c r="L17" t="s">
        <v>141</v>
      </c>
      <c r="M17" s="35" t="s">
        <v>158</v>
      </c>
    </row>
    <row r="18" spans="1:13" ht="26.4" x14ac:dyDescent="0.25">
      <c r="A18" s="34" t="s">
        <v>205</v>
      </c>
      <c r="B18" s="18">
        <v>24250090</v>
      </c>
      <c r="C18" s="37">
        <v>2000</v>
      </c>
      <c r="D18" s="36" t="s">
        <v>206</v>
      </c>
      <c r="E18" s="36" t="s">
        <v>207</v>
      </c>
      <c r="F18" s="36" t="s">
        <v>159</v>
      </c>
      <c r="G18" s="36" t="s">
        <v>163</v>
      </c>
      <c r="H18" s="36" t="s">
        <v>163</v>
      </c>
      <c r="I18" s="36" t="s">
        <v>163</v>
      </c>
      <c r="J18" s="35" t="s">
        <v>208</v>
      </c>
      <c r="K18" s="35">
        <v>0</v>
      </c>
      <c r="L18" t="s">
        <v>209</v>
      </c>
      <c r="M18" s="35" t="s">
        <v>204</v>
      </c>
    </row>
    <row r="19" spans="1:13" ht="26.4" x14ac:dyDescent="0.25">
      <c r="A19" s="34" t="s">
        <v>134</v>
      </c>
      <c r="B19" s="18">
        <v>36795955</v>
      </c>
      <c r="C19" s="37">
        <f>31*7*15.25+9*15.25*7+14*15.25</f>
        <v>4483.5</v>
      </c>
      <c r="D19" s="36" t="s">
        <v>168</v>
      </c>
      <c r="E19" s="36" t="s">
        <v>163</v>
      </c>
      <c r="F19" s="36" t="s">
        <v>159</v>
      </c>
      <c r="G19" s="36" t="s">
        <v>163</v>
      </c>
      <c r="H19" s="36" t="s">
        <v>163</v>
      </c>
      <c r="I19" s="36" t="s">
        <v>163</v>
      </c>
      <c r="J19" s="35" t="s">
        <v>157</v>
      </c>
      <c r="K19" s="35" t="s">
        <v>143</v>
      </c>
      <c r="L19" t="s">
        <v>141</v>
      </c>
      <c r="M19" s="35" t="s">
        <v>158</v>
      </c>
    </row>
    <row r="20" spans="1:13" ht="21.75" customHeight="1" x14ac:dyDescent="0.25">
      <c r="A20" s="34" t="s">
        <v>134</v>
      </c>
      <c r="B20" s="18">
        <v>36795955</v>
      </c>
      <c r="C20" s="37">
        <f>126*15.25</f>
        <v>1921.5</v>
      </c>
      <c r="D20" s="36" t="s">
        <v>218</v>
      </c>
      <c r="E20" s="36" t="s">
        <v>163</v>
      </c>
      <c r="F20" s="36" t="s">
        <v>159</v>
      </c>
      <c r="G20" s="36" t="s">
        <v>163</v>
      </c>
      <c r="H20" s="36" t="s">
        <v>163</v>
      </c>
      <c r="I20" s="36" t="s">
        <v>163</v>
      </c>
      <c r="J20" s="35" t="s">
        <v>157</v>
      </c>
      <c r="K20" s="35" t="s">
        <v>143</v>
      </c>
      <c r="L20" t="s">
        <v>141</v>
      </c>
      <c r="M20" s="35" t="s">
        <v>158</v>
      </c>
    </row>
    <row r="21" spans="1:13" ht="26.4" x14ac:dyDescent="0.25">
      <c r="A21" s="41" t="s">
        <v>195</v>
      </c>
      <c r="B21" s="42">
        <v>33017391</v>
      </c>
      <c r="C21" s="46">
        <v>1400</v>
      </c>
      <c r="D21" s="36" t="s">
        <v>196</v>
      </c>
      <c r="E21" s="36" t="s">
        <v>197</v>
      </c>
      <c r="F21" s="36" t="s">
        <v>163</v>
      </c>
      <c r="G21" s="36" t="s">
        <v>163</v>
      </c>
      <c r="H21" s="36" t="s">
        <v>163</v>
      </c>
      <c r="I21" s="36" t="s">
        <v>163</v>
      </c>
      <c r="J21" s="43" t="s">
        <v>198</v>
      </c>
      <c r="K21" s="43" t="s">
        <v>143</v>
      </c>
      <c r="L21" s="43" t="s">
        <v>199</v>
      </c>
      <c r="M21" s="43" t="s">
        <v>158</v>
      </c>
    </row>
    <row r="22" spans="1:13" ht="26.4" x14ac:dyDescent="0.25">
      <c r="A22" s="41" t="s">
        <v>192</v>
      </c>
      <c r="B22" s="42">
        <v>13252325</v>
      </c>
      <c r="C22" s="46">
        <v>700</v>
      </c>
      <c r="D22" s="36" t="s">
        <v>193</v>
      </c>
      <c r="E22" s="36" t="s">
        <v>163</v>
      </c>
      <c r="F22" s="36" t="s">
        <v>163</v>
      </c>
      <c r="G22" s="36" t="s">
        <v>163</v>
      </c>
      <c r="H22" s="36" t="s">
        <v>163</v>
      </c>
      <c r="I22" s="36" t="s">
        <v>163</v>
      </c>
      <c r="J22" s="43" t="s">
        <v>157</v>
      </c>
      <c r="K22" s="43" t="s">
        <v>143</v>
      </c>
      <c r="L22" s="43" t="s">
        <v>194</v>
      </c>
      <c r="M22" s="43" t="s">
        <v>158</v>
      </c>
    </row>
    <row r="23" spans="1:13" ht="26.4" x14ac:dyDescent="0.25">
      <c r="A23" s="34" t="s">
        <v>102</v>
      </c>
      <c r="B23" s="18">
        <v>36986968</v>
      </c>
      <c r="C23" s="37">
        <f>14*7*15.25+6*15.25+7*7*15.25+70*15.25</f>
        <v>3400.75</v>
      </c>
      <c r="D23" s="36" t="s">
        <v>165</v>
      </c>
      <c r="E23" s="36" t="s">
        <v>163</v>
      </c>
      <c r="F23" s="36" t="s">
        <v>159</v>
      </c>
      <c r="G23" s="36" t="s">
        <v>163</v>
      </c>
      <c r="H23" s="36" t="s">
        <v>163</v>
      </c>
      <c r="I23" s="36" t="s">
        <v>163</v>
      </c>
      <c r="J23" s="35" t="s">
        <v>157</v>
      </c>
      <c r="K23" s="35" t="s">
        <v>143</v>
      </c>
      <c r="L23" t="s">
        <v>141</v>
      </c>
      <c r="M23" s="35" t="s">
        <v>158</v>
      </c>
    </row>
    <row r="24" spans="1:13" ht="26.4" x14ac:dyDescent="0.25">
      <c r="A24" s="34" t="s">
        <v>102</v>
      </c>
      <c r="B24" s="18">
        <v>36986968</v>
      </c>
      <c r="C24" s="37">
        <f>149*15.25</f>
        <v>2272.25</v>
      </c>
      <c r="D24" s="36" t="s">
        <v>215</v>
      </c>
      <c r="E24" s="36" t="s">
        <v>163</v>
      </c>
      <c r="F24" s="36" t="s">
        <v>159</v>
      </c>
      <c r="G24" s="36" t="s">
        <v>163</v>
      </c>
      <c r="H24" s="36" t="s">
        <v>163</v>
      </c>
      <c r="I24" s="36" t="s">
        <v>163</v>
      </c>
      <c r="J24" s="35" t="s">
        <v>157</v>
      </c>
      <c r="K24" s="35" t="s">
        <v>143</v>
      </c>
      <c r="L24" t="s">
        <v>141</v>
      </c>
      <c r="M24" s="35" t="s">
        <v>158</v>
      </c>
    </row>
    <row r="25" spans="1:13" ht="26.4" x14ac:dyDescent="0.25">
      <c r="A25" s="34" t="s">
        <v>173</v>
      </c>
      <c r="B25" s="18">
        <v>17943702</v>
      </c>
      <c r="C25" s="37">
        <f>80.5*15.25</f>
        <v>1227.625</v>
      </c>
      <c r="D25" s="36" t="s">
        <v>171</v>
      </c>
      <c r="E25" s="36" t="s">
        <v>163</v>
      </c>
      <c r="F25" s="36" t="s">
        <v>159</v>
      </c>
      <c r="G25" s="36" t="s">
        <v>163</v>
      </c>
      <c r="H25" s="36" t="s">
        <v>163</v>
      </c>
      <c r="I25" s="36" t="s">
        <v>163</v>
      </c>
      <c r="J25" s="35" t="s">
        <v>157</v>
      </c>
      <c r="K25" s="35" t="s">
        <v>143</v>
      </c>
      <c r="L25" t="s">
        <v>141</v>
      </c>
      <c r="M25" s="35" t="s">
        <v>158</v>
      </c>
    </row>
    <row r="26" spans="1:13" ht="26.4" x14ac:dyDescent="0.25">
      <c r="A26" s="34" t="s">
        <v>173</v>
      </c>
      <c r="B26" s="18">
        <v>17943702</v>
      </c>
      <c r="C26" s="37">
        <f>140.5*15.25</f>
        <v>2142.625</v>
      </c>
      <c r="D26" s="36" t="s">
        <v>221</v>
      </c>
      <c r="E26" s="36" t="s">
        <v>163</v>
      </c>
      <c r="F26" s="36" t="s">
        <v>159</v>
      </c>
      <c r="G26" s="36" t="s">
        <v>163</v>
      </c>
      <c r="H26" s="36" t="s">
        <v>163</v>
      </c>
      <c r="I26" s="36" t="s">
        <v>163</v>
      </c>
      <c r="J26" s="35" t="s">
        <v>157</v>
      </c>
      <c r="K26" s="35" t="s">
        <v>143</v>
      </c>
      <c r="L26" t="s">
        <v>141</v>
      </c>
      <c r="M26" s="35" t="s">
        <v>158</v>
      </c>
    </row>
    <row r="27" spans="1:13" ht="26.4" x14ac:dyDescent="0.25">
      <c r="A27" s="34" t="s">
        <v>98</v>
      </c>
      <c r="B27" s="18">
        <v>30702133</v>
      </c>
      <c r="C27" s="37">
        <f>31*7*15.25+14*15.25</f>
        <v>3522.75</v>
      </c>
      <c r="D27" s="36" t="s">
        <v>162</v>
      </c>
      <c r="E27" s="36" t="s">
        <v>163</v>
      </c>
      <c r="F27" s="36" t="s">
        <v>159</v>
      </c>
      <c r="G27" s="36" t="s">
        <v>163</v>
      </c>
      <c r="H27" s="36" t="s">
        <v>163</v>
      </c>
      <c r="I27" s="36" t="s">
        <v>163</v>
      </c>
      <c r="J27" s="35" t="s">
        <v>157</v>
      </c>
      <c r="K27" s="35" t="s">
        <v>143</v>
      </c>
      <c r="L27" t="s">
        <v>141</v>
      </c>
      <c r="M27" s="35" t="s">
        <v>158</v>
      </c>
    </row>
    <row r="28" spans="1:13" ht="26.4" x14ac:dyDescent="0.25">
      <c r="A28" s="34" t="s">
        <v>98</v>
      </c>
      <c r="B28" s="18">
        <v>30702133</v>
      </c>
      <c r="C28" s="37">
        <f>130*15.25</f>
        <v>1982.5</v>
      </c>
      <c r="D28" s="36" t="s">
        <v>212</v>
      </c>
      <c r="E28" s="36" t="s">
        <v>163</v>
      </c>
      <c r="F28" s="36" t="s">
        <v>159</v>
      </c>
      <c r="G28" s="36" t="s">
        <v>163</v>
      </c>
      <c r="H28" s="36" t="s">
        <v>163</v>
      </c>
      <c r="I28" s="36" t="s">
        <v>163</v>
      </c>
      <c r="J28" s="35" t="s">
        <v>157</v>
      </c>
      <c r="K28" s="35" t="s">
        <v>143</v>
      </c>
      <c r="L28" t="s">
        <v>141</v>
      </c>
      <c r="M28" s="35" t="s">
        <v>158</v>
      </c>
    </row>
    <row r="29" spans="1:13" ht="26.4" x14ac:dyDescent="0.25">
      <c r="A29" s="34" t="s">
        <v>135</v>
      </c>
      <c r="B29" s="18">
        <v>32888635</v>
      </c>
      <c r="C29" s="37">
        <v>3000</v>
      </c>
      <c r="D29" s="36" t="s">
        <v>169</v>
      </c>
      <c r="E29" s="36" t="s">
        <v>163</v>
      </c>
      <c r="F29" s="36" t="s">
        <v>159</v>
      </c>
      <c r="G29" s="36" t="s">
        <v>163</v>
      </c>
      <c r="H29" s="36" t="s">
        <v>163</v>
      </c>
      <c r="I29" s="36" t="s">
        <v>163</v>
      </c>
      <c r="J29" s="35" t="s">
        <v>157</v>
      </c>
      <c r="K29" s="35" t="s">
        <v>143</v>
      </c>
      <c r="L29" t="s">
        <v>141</v>
      </c>
      <c r="M29" s="35" t="s">
        <v>158</v>
      </c>
    </row>
    <row r="30" spans="1:13" ht="26.4" x14ac:dyDescent="0.25">
      <c r="A30" s="34" t="s">
        <v>135</v>
      </c>
      <c r="B30" s="18">
        <v>32888635</v>
      </c>
      <c r="C30" s="37">
        <v>3854</v>
      </c>
      <c r="D30" s="36" t="s">
        <v>169</v>
      </c>
      <c r="E30" s="36" t="s">
        <v>163</v>
      </c>
      <c r="F30" s="36" t="s">
        <v>159</v>
      </c>
      <c r="G30" s="36" t="s">
        <v>163</v>
      </c>
      <c r="H30" s="36" t="s">
        <v>163</v>
      </c>
      <c r="I30" s="36" t="s">
        <v>163</v>
      </c>
      <c r="J30" s="35" t="s">
        <v>157</v>
      </c>
      <c r="K30" s="35" t="s">
        <v>143</v>
      </c>
      <c r="L30" t="s">
        <v>141</v>
      </c>
      <c r="M30" s="35" t="s">
        <v>158</v>
      </c>
    </row>
    <row r="31" spans="1:13" ht="26.4" x14ac:dyDescent="0.25">
      <c r="A31" s="34" t="s">
        <v>132</v>
      </c>
      <c r="B31" s="18">
        <v>36917671</v>
      </c>
      <c r="C31" s="37">
        <f>14*7*15.25+6*15.25+7*7*15.25+28*15.25</f>
        <v>2760.25</v>
      </c>
      <c r="D31" s="36" t="s">
        <v>166</v>
      </c>
      <c r="E31" s="36" t="s">
        <v>163</v>
      </c>
      <c r="F31" s="36" t="s">
        <v>159</v>
      </c>
      <c r="G31" s="36" t="s">
        <v>163</v>
      </c>
      <c r="H31" s="36" t="s">
        <v>163</v>
      </c>
      <c r="I31" s="36" t="s">
        <v>163</v>
      </c>
      <c r="J31" s="35" t="s">
        <v>157</v>
      </c>
      <c r="K31" s="35" t="s">
        <v>143</v>
      </c>
      <c r="L31" t="s">
        <v>141</v>
      </c>
      <c r="M31" s="35" t="s">
        <v>158</v>
      </c>
    </row>
    <row r="32" spans="1:13" ht="26.4" x14ac:dyDescent="0.25">
      <c r="A32" s="34" t="s">
        <v>132</v>
      </c>
      <c r="B32" s="18">
        <v>36917671</v>
      </c>
      <c r="C32" s="37">
        <f>122*15.25</f>
        <v>1860.5</v>
      </c>
      <c r="D32" s="36" t="s">
        <v>216</v>
      </c>
      <c r="E32" s="36" t="s">
        <v>163</v>
      </c>
      <c r="F32" s="36" t="s">
        <v>159</v>
      </c>
      <c r="G32" s="36" t="s">
        <v>163</v>
      </c>
      <c r="H32" s="36" t="s">
        <v>163</v>
      </c>
      <c r="I32" s="36" t="s">
        <v>163</v>
      </c>
      <c r="J32" s="35" t="s">
        <v>157</v>
      </c>
      <c r="K32" s="35" t="s">
        <v>143</v>
      </c>
      <c r="L32" t="s">
        <v>141</v>
      </c>
      <c r="M32" s="35" t="s">
        <v>158</v>
      </c>
    </row>
    <row r="33" spans="1:15" s="74" customFormat="1" ht="26.4" x14ac:dyDescent="0.25">
      <c r="A33" s="34" t="s">
        <v>101</v>
      </c>
      <c r="B33" s="70">
        <v>24221323</v>
      </c>
      <c r="C33" s="71">
        <f>102*37.78</f>
        <v>3853.56</v>
      </c>
      <c r="D33" s="72" t="s">
        <v>1045</v>
      </c>
      <c r="E33" s="72" t="s">
        <v>1029</v>
      </c>
      <c r="F33" s="72" t="s">
        <v>159</v>
      </c>
      <c r="G33" s="36" t="s">
        <v>163</v>
      </c>
      <c r="H33" s="36" t="s">
        <v>163</v>
      </c>
      <c r="I33" s="36" t="s">
        <v>163</v>
      </c>
      <c r="J33" s="73" t="s">
        <v>157</v>
      </c>
      <c r="K33" s="73" t="s">
        <v>143</v>
      </c>
      <c r="L33" s="74" t="s">
        <v>141</v>
      </c>
      <c r="M33" s="73" t="s">
        <v>158</v>
      </c>
      <c r="N33" s="74">
        <v>13</v>
      </c>
      <c r="O33" s="75">
        <v>42357</v>
      </c>
    </row>
    <row r="34" spans="1:15" ht="26.4" x14ac:dyDescent="0.25">
      <c r="A34" s="34" t="s">
        <v>101</v>
      </c>
      <c r="B34" s="18">
        <v>24221323</v>
      </c>
      <c r="C34" s="37">
        <f>191*15.25</f>
        <v>2912.75</v>
      </c>
      <c r="D34" s="36" t="s">
        <v>214</v>
      </c>
      <c r="E34" s="36" t="s">
        <v>163</v>
      </c>
      <c r="F34" s="36" t="s">
        <v>159</v>
      </c>
      <c r="G34" s="36" t="s">
        <v>163</v>
      </c>
      <c r="H34" s="36" t="s">
        <v>163</v>
      </c>
      <c r="I34" s="36" t="s">
        <v>163</v>
      </c>
      <c r="J34" s="35" t="s">
        <v>157</v>
      </c>
      <c r="K34" s="35" t="s">
        <v>143</v>
      </c>
      <c r="L34" t="s">
        <v>141</v>
      </c>
      <c r="M34" s="35" t="s">
        <v>158</v>
      </c>
    </row>
    <row r="35" spans="1:15" ht="26.4" x14ac:dyDescent="0.25">
      <c r="A35" s="34" t="s">
        <v>96</v>
      </c>
      <c r="B35" s="18">
        <v>29069024</v>
      </c>
      <c r="C35" s="37">
        <f>31*7*15.25+3*15.25+14*15.25+7*20</f>
        <v>3708.5</v>
      </c>
      <c r="D35" s="36" t="s">
        <v>161</v>
      </c>
      <c r="E35" s="36" t="s">
        <v>155</v>
      </c>
      <c r="F35" s="36" t="s">
        <v>159</v>
      </c>
      <c r="G35" s="36" t="s">
        <v>163</v>
      </c>
      <c r="H35" s="36" t="s">
        <v>163</v>
      </c>
      <c r="I35" s="36" t="s">
        <v>163</v>
      </c>
      <c r="J35" s="35" t="s">
        <v>157</v>
      </c>
      <c r="K35" s="35" t="s">
        <v>143</v>
      </c>
      <c r="L35" t="s">
        <v>141</v>
      </c>
      <c r="M35" s="35" t="s">
        <v>158</v>
      </c>
    </row>
    <row r="36" spans="1:15" ht="26.4" x14ac:dyDescent="0.25">
      <c r="A36" s="34" t="s">
        <v>96</v>
      </c>
      <c r="B36" s="18">
        <v>29069024</v>
      </c>
      <c r="C36" s="37">
        <f>198*15.25</f>
        <v>3019.5</v>
      </c>
      <c r="D36" s="36" t="s">
        <v>211</v>
      </c>
      <c r="E36" s="36" t="s">
        <v>163</v>
      </c>
      <c r="F36" s="36" t="s">
        <v>159</v>
      </c>
      <c r="G36" s="36" t="s">
        <v>163</v>
      </c>
      <c r="H36" s="36" t="s">
        <v>163</v>
      </c>
      <c r="I36" s="36" t="s">
        <v>163</v>
      </c>
      <c r="J36" s="35" t="s">
        <v>157</v>
      </c>
      <c r="K36" s="35" t="s">
        <v>143</v>
      </c>
      <c r="L36" t="s">
        <v>141</v>
      </c>
      <c r="M36" s="35" t="s">
        <v>158</v>
      </c>
    </row>
    <row r="37" spans="1:15" ht="26.4" x14ac:dyDescent="0.25">
      <c r="A37" s="34" t="s">
        <v>97</v>
      </c>
      <c r="B37" s="18">
        <v>18595248</v>
      </c>
      <c r="C37" s="37">
        <f>31*7*15.25+3*15.25+14*15.25+7*20</f>
        <v>3708.5</v>
      </c>
      <c r="D37" s="36" t="s">
        <v>161</v>
      </c>
      <c r="E37" s="36" t="s">
        <v>155</v>
      </c>
      <c r="F37" s="36" t="s">
        <v>159</v>
      </c>
      <c r="G37" s="36" t="s">
        <v>163</v>
      </c>
      <c r="H37" s="36" t="s">
        <v>163</v>
      </c>
      <c r="I37" s="36" t="s">
        <v>163</v>
      </c>
      <c r="J37" s="35" t="s">
        <v>157</v>
      </c>
      <c r="K37" s="35" t="s">
        <v>143</v>
      </c>
      <c r="L37" t="s">
        <v>141</v>
      </c>
      <c r="M37" s="35" t="s">
        <v>158</v>
      </c>
    </row>
    <row r="38" spans="1:15" ht="26.4" x14ac:dyDescent="0.25">
      <c r="A38" s="34" t="s">
        <v>97</v>
      </c>
      <c r="B38" s="18">
        <v>18595248</v>
      </c>
      <c r="C38" s="37">
        <f>198*15.25</f>
        <v>3019.5</v>
      </c>
      <c r="D38" s="36" t="s">
        <v>211</v>
      </c>
      <c r="E38" s="36" t="s">
        <v>163</v>
      </c>
      <c r="F38" s="36" t="s">
        <v>159</v>
      </c>
      <c r="G38" s="36" t="s">
        <v>163</v>
      </c>
      <c r="H38" s="36" t="s">
        <v>163</v>
      </c>
      <c r="I38" s="36" t="s">
        <v>163</v>
      </c>
      <c r="J38" s="35" t="s">
        <v>157</v>
      </c>
      <c r="K38" s="35" t="s">
        <v>143</v>
      </c>
      <c r="L38" t="s">
        <v>141</v>
      </c>
      <c r="M38" s="35" t="s">
        <v>158</v>
      </c>
    </row>
    <row r="39" spans="1:15" ht="26.4" x14ac:dyDescent="0.25">
      <c r="A39" s="34" t="s">
        <v>189</v>
      </c>
      <c r="B39" s="18">
        <v>8359654</v>
      </c>
      <c r="C39" s="37">
        <v>650</v>
      </c>
      <c r="D39" s="36" t="s">
        <v>190</v>
      </c>
      <c r="E39" s="36" t="s">
        <v>163</v>
      </c>
      <c r="F39" s="36" t="s">
        <v>163</v>
      </c>
      <c r="G39" s="36" t="s">
        <v>163</v>
      </c>
      <c r="H39" s="36" t="s">
        <v>163</v>
      </c>
      <c r="I39" s="36" t="s">
        <v>163</v>
      </c>
      <c r="J39" s="35" t="s">
        <v>191</v>
      </c>
      <c r="K39" s="35" t="s">
        <v>143</v>
      </c>
      <c r="L39" t="s">
        <v>141</v>
      </c>
      <c r="M39" s="35" t="s">
        <v>158</v>
      </c>
    </row>
    <row r="40" spans="1:15" ht="26.4" x14ac:dyDescent="0.25">
      <c r="A40" s="34" t="s">
        <v>137</v>
      </c>
      <c r="B40" s="18">
        <v>12328432</v>
      </c>
      <c r="C40" s="37">
        <v>3500</v>
      </c>
      <c r="D40" s="36" t="s">
        <v>170</v>
      </c>
      <c r="E40" s="36" t="s">
        <v>163</v>
      </c>
      <c r="F40" s="36" t="s">
        <v>159</v>
      </c>
      <c r="G40" s="36" t="s">
        <v>163</v>
      </c>
      <c r="H40" s="36" t="s">
        <v>163</v>
      </c>
      <c r="I40" s="36" t="s">
        <v>163</v>
      </c>
      <c r="J40" s="35" t="s">
        <v>157</v>
      </c>
      <c r="K40" s="35" t="s">
        <v>143</v>
      </c>
      <c r="L40" t="s">
        <v>141</v>
      </c>
      <c r="M40" s="35" t="s">
        <v>158</v>
      </c>
    </row>
    <row r="41" spans="1:15" ht="26.4" x14ac:dyDescent="0.25">
      <c r="A41" s="34" t="s">
        <v>137</v>
      </c>
      <c r="B41" s="18">
        <v>12328432</v>
      </c>
      <c r="C41" s="37">
        <f>3500+15.25*5</f>
        <v>3576.25</v>
      </c>
      <c r="D41" s="36" t="s">
        <v>170</v>
      </c>
      <c r="E41" s="36" t="s">
        <v>163</v>
      </c>
      <c r="F41" s="36" t="s">
        <v>159</v>
      </c>
      <c r="G41" s="36" t="s">
        <v>163</v>
      </c>
      <c r="H41" s="36" t="s">
        <v>163</v>
      </c>
      <c r="I41" s="36" t="s">
        <v>163</v>
      </c>
      <c r="J41" s="35" t="s">
        <v>157</v>
      </c>
      <c r="K41" s="35" t="s">
        <v>143</v>
      </c>
      <c r="L41" t="s">
        <v>141</v>
      </c>
      <c r="M41" s="35" t="s">
        <v>158</v>
      </c>
    </row>
    <row r="42" spans="1:15" ht="26.4" x14ac:dyDescent="0.25">
      <c r="A42" s="34" t="s">
        <v>224</v>
      </c>
      <c r="B42" s="18">
        <v>6699842</v>
      </c>
      <c r="C42" s="37">
        <v>1500</v>
      </c>
      <c r="D42" s="36" t="s">
        <v>225</v>
      </c>
      <c r="E42" s="36" t="s">
        <v>226</v>
      </c>
      <c r="F42" s="36" t="s">
        <v>184</v>
      </c>
      <c r="G42" s="36" t="s">
        <v>163</v>
      </c>
      <c r="H42" s="36" t="s">
        <v>163</v>
      </c>
      <c r="I42" s="36" t="s">
        <v>163</v>
      </c>
      <c r="J42" s="35" t="s">
        <v>227</v>
      </c>
      <c r="K42" s="35">
        <v>130</v>
      </c>
      <c r="L42" t="s">
        <v>194</v>
      </c>
      <c r="M42" s="35" t="s">
        <v>158</v>
      </c>
    </row>
    <row r="43" spans="1:15" ht="26.4" x14ac:dyDescent="0.25">
      <c r="A43" s="34" t="s">
        <v>228</v>
      </c>
      <c r="B43" s="18">
        <v>16684064</v>
      </c>
      <c r="C43" s="37">
        <v>1500</v>
      </c>
      <c r="D43" s="36" t="s">
        <v>229</v>
      </c>
      <c r="E43" s="36" t="s">
        <v>231</v>
      </c>
      <c r="F43" s="36" t="s">
        <v>230</v>
      </c>
      <c r="G43" s="36" t="s">
        <v>163</v>
      </c>
      <c r="H43" s="36" t="s">
        <v>163</v>
      </c>
      <c r="I43" s="36" t="s">
        <v>163</v>
      </c>
      <c r="J43" s="35" t="s">
        <v>232</v>
      </c>
      <c r="K43" s="35">
        <v>973</v>
      </c>
      <c r="L43" s="35" t="s">
        <v>141</v>
      </c>
      <c r="M43" s="35" t="s">
        <v>158</v>
      </c>
    </row>
    <row r="44" spans="1:15" ht="26.4" x14ac:dyDescent="0.25">
      <c r="A44" s="34" t="s">
        <v>233</v>
      </c>
      <c r="B44" s="18">
        <v>16684026</v>
      </c>
      <c r="C44" s="37">
        <v>600</v>
      </c>
      <c r="D44" s="36" t="s">
        <v>234</v>
      </c>
      <c r="E44" s="36" t="s">
        <v>226</v>
      </c>
      <c r="F44" s="36" t="s">
        <v>184</v>
      </c>
      <c r="G44" s="36" t="s">
        <v>163</v>
      </c>
      <c r="H44" s="36" t="s">
        <v>163</v>
      </c>
      <c r="I44" s="36" t="s">
        <v>163</v>
      </c>
      <c r="J44" s="35" t="s">
        <v>235</v>
      </c>
      <c r="K44" s="35">
        <v>278</v>
      </c>
      <c r="L44" s="35" t="s">
        <v>141</v>
      </c>
      <c r="M44" s="35" t="s">
        <v>158</v>
      </c>
    </row>
    <row r="45" spans="1:15" ht="26.4" x14ac:dyDescent="0.25">
      <c r="A45" s="34" t="s">
        <v>236</v>
      </c>
      <c r="B45" s="18">
        <v>10740636</v>
      </c>
      <c r="C45" s="37">
        <v>16000</v>
      </c>
      <c r="D45" s="36" t="s">
        <v>237</v>
      </c>
      <c r="E45" s="36" t="s">
        <v>238</v>
      </c>
      <c r="F45" s="36" t="s">
        <v>184</v>
      </c>
      <c r="G45" s="36" t="s">
        <v>163</v>
      </c>
      <c r="H45" s="36" t="s">
        <v>163</v>
      </c>
      <c r="I45" s="36" t="s">
        <v>163</v>
      </c>
      <c r="J45" s="35" t="s">
        <v>239</v>
      </c>
      <c r="K45" s="35">
        <v>780</v>
      </c>
      <c r="L45" s="35" t="s">
        <v>194</v>
      </c>
      <c r="M45" s="35" t="s">
        <v>158</v>
      </c>
    </row>
    <row r="46" spans="1:15" ht="26.4" x14ac:dyDescent="0.25">
      <c r="A46" s="34" t="s">
        <v>205</v>
      </c>
      <c r="B46" s="18">
        <v>24250090</v>
      </c>
      <c r="C46" s="37">
        <v>1800</v>
      </c>
      <c r="D46" s="36" t="s">
        <v>240</v>
      </c>
      <c r="E46" s="36" t="s">
        <v>241</v>
      </c>
      <c r="F46" s="36" t="s">
        <v>159</v>
      </c>
      <c r="G46" s="36" t="s">
        <v>163</v>
      </c>
      <c r="H46" s="36" t="s">
        <v>163</v>
      </c>
      <c r="I46" s="36" t="s">
        <v>163</v>
      </c>
      <c r="J46" s="35" t="s">
        <v>208</v>
      </c>
      <c r="K46" s="35">
        <v>0</v>
      </c>
      <c r="L46" t="s">
        <v>209</v>
      </c>
      <c r="M46" s="35" t="s">
        <v>242</v>
      </c>
    </row>
    <row r="47" spans="1:15" ht="26.4" x14ac:dyDescent="0.25">
      <c r="A47" s="34" t="s">
        <v>173</v>
      </c>
      <c r="B47" s="18">
        <v>17943702</v>
      </c>
      <c r="C47" s="37">
        <f>60*15.25</f>
        <v>915</v>
      </c>
      <c r="D47" s="36" t="s">
        <v>243</v>
      </c>
      <c r="E47" s="36" t="s">
        <v>163</v>
      </c>
      <c r="F47" s="36" t="s">
        <v>159</v>
      </c>
      <c r="G47" s="36" t="s">
        <v>163</v>
      </c>
      <c r="H47" s="36" t="s">
        <v>163</v>
      </c>
      <c r="I47" s="36" t="s">
        <v>163</v>
      </c>
      <c r="J47" s="35" t="s">
        <v>157</v>
      </c>
      <c r="K47" s="35" t="s">
        <v>143</v>
      </c>
      <c r="L47" t="s">
        <v>141</v>
      </c>
      <c r="M47" s="35" t="s">
        <v>158</v>
      </c>
    </row>
    <row r="48" spans="1:15" ht="26.4" x14ac:dyDescent="0.25">
      <c r="A48" s="41" t="s">
        <v>195</v>
      </c>
      <c r="B48" s="42">
        <v>33017391</v>
      </c>
      <c r="C48" s="46">
        <v>820</v>
      </c>
      <c r="D48" s="36" t="s">
        <v>244</v>
      </c>
      <c r="E48" s="36" t="s">
        <v>245</v>
      </c>
      <c r="F48" s="36" t="s">
        <v>163</v>
      </c>
      <c r="G48" s="36" t="s">
        <v>163</v>
      </c>
      <c r="H48" s="36" t="s">
        <v>163</v>
      </c>
      <c r="I48" s="36" t="s">
        <v>163</v>
      </c>
      <c r="J48" s="43" t="s">
        <v>198</v>
      </c>
      <c r="K48" s="43" t="s">
        <v>143</v>
      </c>
      <c r="L48" s="43" t="s">
        <v>199</v>
      </c>
      <c r="M48" s="43" t="s">
        <v>158</v>
      </c>
    </row>
    <row r="49" spans="1:13" ht="26.4" x14ac:dyDescent="0.25">
      <c r="A49" s="34" t="s">
        <v>175</v>
      </c>
      <c r="B49" s="18">
        <v>22203958</v>
      </c>
      <c r="C49" s="37">
        <f>108*15.25</f>
        <v>1647</v>
      </c>
      <c r="D49" s="36" t="s">
        <v>246</v>
      </c>
      <c r="E49" s="36" t="s">
        <v>163</v>
      </c>
      <c r="F49" s="36" t="s">
        <v>159</v>
      </c>
      <c r="G49" s="36" t="s">
        <v>163</v>
      </c>
      <c r="H49" s="36" t="s">
        <v>163</v>
      </c>
      <c r="I49" s="36" t="s">
        <v>163</v>
      </c>
      <c r="J49" s="35" t="s">
        <v>157</v>
      </c>
      <c r="K49" s="35" t="s">
        <v>143</v>
      </c>
      <c r="L49" t="s">
        <v>141</v>
      </c>
      <c r="M49" s="35" t="s">
        <v>158</v>
      </c>
    </row>
    <row r="50" spans="1:13" ht="26.4" x14ac:dyDescent="0.25">
      <c r="A50" s="34" t="s">
        <v>172</v>
      </c>
      <c r="B50" s="18">
        <v>14203979</v>
      </c>
      <c r="C50" s="37">
        <f>61*15.25</f>
        <v>930.25</v>
      </c>
      <c r="D50" s="36" t="s">
        <v>247</v>
      </c>
      <c r="E50" s="36" t="s">
        <v>163</v>
      </c>
      <c r="F50" s="36" t="s">
        <v>159</v>
      </c>
      <c r="G50" s="36" t="s">
        <v>163</v>
      </c>
      <c r="H50" s="36" t="s">
        <v>163</v>
      </c>
      <c r="I50" s="36" t="s">
        <v>163</v>
      </c>
      <c r="J50" s="35" t="s">
        <v>157</v>
      </c>
      <c r="K50" s="35" t="s">
        <v>143</v>
      </c>
      <c r="L50" t="s">
        <v>141</v>
      </c>
      <c r="M50" s="35" t="s">
        <v>158</v>
      </c>
    </row>
    <row r="51" spans="1:13" ht="26.4" x14ac:dyDescent="0.25">
      <c r="A51" s="34" t="s">
        <v>248</v>
      </c>
      <c r="B51" s="18">
        <v>14411009</v>
      </c>
      <c r="C51" s="37">
        <v>1600</v>
      </c>
      <c r="D51" s="36" t="s">
        <v>249</v>
      </c>
      <c r="E51" s="36" t="s">
        <v>250</v>
      </c>
      <c r="F51" s="36" t="s">
        <v>251</v>
      </c>
      <c r="G51" s="36" t="s">
        <v>163</v>
      </c>
      <c r="H51" s="36" t="s">
        <v>163</v>
      </c>
      <c r="I51" s="36" t="s">
        <v>163</v>
      </c>
      <c r="J51" s="35" t="s">
        <v>252</v>
      </c>
      <c r="K51" s="35">
        <v>1000</v>
      </c>
      <c r="L51" t="s">
        <v>194</v>
      </c>
      <c r="M51" s="35" t="s">
        <v>158</v>
      </c>
    </row>
    <row r="52" spans="1:13" ht="26.4" x14ac:dyDescent="0.25">
      <c r="A52" s="34" t="s">
        <v>254</v>
      </c>
      <c r="B52" s="18">
        <v>29204043</v>
      </c>
      <c r="C52" s="37">
        <v>2000</v>
      </c>
      <c r="D52" s="36" t="s">
        <v>253</v>
      </c>
      <c r="E52" s="36" t="s">
        <v>250</v>
      </c>
      <c r="F52" s="36" t="s">
        <v>251</v>
      </c>
      <c r="G52" s="36" t="s">
        <v>163</v>
      </c>
      <c r="H52" s="36" t="s">
        <v>163</v>
      </c>
      <c r="I52" s="36" t="s">
        <v>163</v>
      </c>
      <c r="J52" s="35" t="s">
        <v>255</v>
      </c>
      <c r="K52" s="35">
        <v>995</v>
      </c>
      <c r="L52" t="s">
        <v>194</v>
      </c>
      <c r="M52" s="35" t="s">
        <v>158</v>
      </c>
    </row>
    <row r="53" spans="1:13" ht="26.4" x14ac:dyDescent="0.25">
      <c r="A53" s="34" t="s">
        <v>256</v>
      </c>
      <c r="B53" s="18">
        <v>8652547</v>
      </c>
      <c r="C53" s="37">
        <v>500</v>
      </c>
      <c r="D53" s="36" t="s">
        <v>257</v>
      </c>
      <c r="E53" s="36" t="s">
        <v>250</v>
      </c>
      <c r="F53" s="36" t="s">
        <v>251</v>
      </c>
      <c r="G53" s="36" t="s">
        <v>163</v>
      </c>
      <c r="H53" s="36" t="s">
        <v>163</v>
      </c>
      <c r="I53" s="36" t="s">
        <v>163</v>
      </c>
      <c r="J53" s="35" t="s">
        <v>157</v>
      </c>
      <c r="K53" s="35">
        <v>0</v>
      </c>
      <c r="L53" t="s">
        <v>258</v>
      </c>
      <c r="M53" s="35" t="s">
        <v>158</v>
      </c>
    </row>
    <row r="54" spans="1:13" ht="26.4" x14ac:dyDescent="0.25">
      <c r="A54" s="34" t="s">
        <v>195</v>
      </c>
      <c r="B54" s="18">
        <v>33017391</v>
      </c>
      <c r="C54" s="37">
        <v>900</v>
      </c>
      <c r="D54" s="36" t="s">
        <v>259</v>
      </c>
      <c r="E54" s="36" t="s">
        <v>163</v>
      </c>
      <c r="F54" s="36" t="s">
        <v>163</v>
      </c>
      <c r="G54" s="36" t="s">
        <v>163</v>
      </c>
      <c r="H54" s="36" t="s">
        <v>163</v>
      </c>
      <c r="I54" s="36" t="s">
        <v>163</v>
      </c>
      <c r="J54" s="35" t="s">
        <v>198</v>
      </c>
      <c r="K54" s="35" t="s">
        <v>143</v>
      </c>
      <c r="L54" t="s">
        <v>199</v>
      </c>
      <c r="M54" s="35" t="s">
        <v>158</v>
      </c>
    </row>
    <row r="55" spans="1:13" ht="26.4" x14ac:dyDescent="0.25">
      <c r="A55" s="34" t="s">
        <v>260</v>
      </c>
      <c r="B55" s="18">
        <v>17911380</v>
      </c>
      <c r="C55" s="37">
        <v>4000</v>
      </c>
      <c r="D55" s="36" t="s">
        <v>261</v>
      </c>
      <c r="E55" s="36" t="s">
        <v>262</v>
      </c>
      <c r="F55" s="36" t="s">
        <v>263</v>
      </c>
      <c r="G55" s="36" t="s">
        <v>163</v>
      </c>
      <c r="H55" s="36" t="s">
        <v>163</v>
      </c>
      <c r="I55" s="36" t="s">
        <v>163</v>
      </c>
      <c r="J55" s="35" t="s">
        <v>264</v>
      </c>
      <c r="K55" s="35">
        <v>641</v>
      </c>
      <c r="L55" t="s">
        <v>204</v>
      </c>
      <c r="M55" s="35" t="s">
        <v>204</v>
      </c>
    </row>
    <row r="56" spans="1:13" ht="26.4" x14ac:dyDescent="0.25">
      <c r="A56" s="34" t="s">
        <v>254</v>
      </c>
      <c r="B56" s="18">
        <v>29204043</v>
      </c>
      <c r="C56" s="37">
        <v>1000</v>
      </c>
      <c r="D56" s="36" t="s">
        <v>265</v>
      </c>
      <c r="E56" s="36" t="s">
        <v>262</v>
      </c>
      <c r="F56" s="36" t="s">
        <v>263</v>
      </c>
      <c r="G56" s="36" t="s">
        <v>163</v>
      </c>
      <c r="H56" s="36" t="s">
        <v>163</v>
      </c>
      <c r="I56" s="36" t="s">
        <v>163</v>
      </c>
      <c r="J56" s="35" t="s">
        <v>255</v>
      </c>
      <c r="K56" s="35">
        <v>995</v>
      </c>
      <c r="L56" t="s">
        <v>194</v>
      </c>
      <c r="M56" s="35" t="s">
        <v>158</v>
      </c>
    </row>
    <row r="57" spans="1:13" ht="26.4" x14ac:dyDescent="0.25">
      <c r="A57" s="34" t="s">
        <v>266</v>
      </c>
      <c r="B57" s="18">
        <v>13821921</v>
      </c>
      <c r="C57" s="37">
        <v>5500</v>
      </c>
      <c r="D57" s="36" t="s">
        <v>267</v>
      </c>
      <c r="E57" s="36" t="s">
        <v>262</v>
      </c>
      <c r="F57" s="36" t="s">
        <v>263</v>
      </c>
      <c r="G57" s="36" t="s">
        <v>163</v>
      </c>
      <c r="H57" s="36" t="s">
        <v>163</v>
      </c>
      <c r="I57" s="36" t="s">
        <v>163</v>
      </c>
      <c r="J57" s="35" t="s">
        <v>268</v>
      </c>
      <c r="K57" s="35">
        <v>841</v>
      </c>
      <c r="L57" s="35" t="s">
        <v>269</v>
      </c>
      <c r="M57" s="35" t="s">
        <v>158</v>
      </c>
    </row>
    <row r="58" spans="1:13" ht="26.4" x14ac:dyDescent="0.25">
      <c r="A58" s="34" t="s">
        <v>224</v>
      </c>
      <c r="B58" s="18">
        <v>6699842</v>
      </c>
      <c r="C58" s="37">
        <v>2000</v>
      </c>
      <c r="D58" s="36" t="s">
        <v>270</v>
      </c>
      <c r="E58" s="36" t="s">
        <v>262</v>
      </c>
      <c r="F58" s="36" t="s">
        <v>263</v>
      </c>
      <c r="G58" s="36" t="s">
        <v>163</v>
      </c>
      <c r="H58" s="36" t="s">
        <v>163</v>
      </c>
      <c r="I58" s="36" t="s">
        <v>163</v>
      </c>
      <c r="J58" s="35" t="s">
        <v>227</v>
      </c>
      <c r="K58" s="35">
        <v>130</v>
      </c>
      <c r="L58" t="s">
        <v>194</v>
      </c>
      <c r="M58" s="35" t="s">
        <v>158</v>
      </c>
    </row>
    <row r="59" spans="1:13" ht="26.4" x14ac:dyDescent="0.25">
      <c r="A59" s="34" t="s">
        <v>175</v>
      </c>
      <c r="B59" s="18">
        <v>22203958</v>
      </c>
      <c r="C59" s="37">
        <f>124*15.25</f>
        <v>1891</v>
      </c>
      <c r="D59" s="36" t="s">
        <v>271</v>
      </c>
      <c r="E59" s="36" t="s">
        <v>163</v>
      </c>
      <c r="F59" s="36" t="s">
        <v>159</v>
      </c>
      <c r="G59" s="36" t="s">
        <v>163</v>
      </c>
      <c r="H59" s="36" t="s">
        <v>163</v>
      </c>
      <c r="I59" s="36" t="s">
        <v>163</v>
      </c>
      <c r="J59" s="35" t="s">
        <v>157</v>
      </c>
      <c r="K59" s="35" t="s">
        <v>143</v>
      </c>
      <c r="L59" t="s">
        <v>141</v>
      </c>
      <c r="M59" s="35" t="s">
        <v>158</v>
      </c>
    </row>
    <row r="60" spans="1:13" ht="26.4" x14ac:dyDescent="0.25">
      <c r="A60" s="34" t="s">
        <v>172</v>
      </c>
      <c r="B60" s="18">
        <v>14203979</v>
      </c>
      <c r="C60" s="37">
        <f>56*18.63+52</f>
        <v>1095.28</v>
      </c>
      <c r="D60" s="36" t="s">
        <v>272</v>
      </c>
      <c r="E60" s="36" t="s">
        <v>163</v>
      </c>
      <c r="F60" s="36" t="s">
        <v>159</v>
      </c>
      <c r="G60" s="36" t="s">
        <v>163</v>
      </c>
      <c r="H60" s="36" t="s">
        <v>163</v>
      </c>
      <c r="I60" s="36" t="s">
        <v>163</v>
      </c>
      <c r="J60" s="35" t="s">
        <v>157</v>
      </c>
      <c r="K60" s="35" t="s">
        <v>143</v>
      </c>
      <c r="L60" t="s">
        <v>141</v>
      </c>
      <c r="M60" s="35" t="s">
        <v>158</v>
      </c>
    </row>
    <row r="61" spans="1:13" ht="26.4" x14ac:dyDescent="0.25">
      <c r="A61" s="34" t="s">
        <v>273</v>
      </c>
      <c r="B61" s="18">
        <v>23851714</v>
      </c>
      <c r="C61" s="37">
        <f>44*18.63</f>
        <v>819.71999999999991</v>
      </c>
      <c r="D61" s="36" t="s">
        <v>274</v>
      </c>
      <c r="E61" s="36" t="s">
        <v>163</v>
      </c>
      <c r="F61" s="36" t="s">
        <v>159</v>
      </c>
      <c r="G61" s="36" t="s">
        <v>163</v>
      </c>
      <c r="H61" s="36" t="s">
        <v>163</v>
      </c>
      <c r="I61" s="36" t="s">
        <v>163</v>
      </c>
      <c r="J61" s="35" t="s">
        <v>275</v>
      </c>
      <c r="K61" s="35">
        <v>339</v>
      </c>
      <c r="L61" t="s">
        <v>194</v>
      </c>
      <c r="M61" s="35" t="s">
        <v>158</v>
      </c>
    </row>
    <row r="62" spans="1:13" ht="26.4" x14ac:dyDescent="0.25">
      <c r="A62" s="34" t="s">
        <v>175</v>
      </c>
      <c r="B62" s="18">
        <v>22203958</v>
      </c>
      <c r="C62" s="37">
        <f>111.5*15.25</f>
        <v>1700.375</v>
      </c>
      <c r="D62" s="36" t="s">
        <v>276</v>
      </c>
      <c r="E62" s="36" t="s">
        <v>163</v>
      </c>
      <c r="F62" s="36" t="s">
        <v>159</v>
      </c>
      <c r="G62" s="36" t="s">
        <v>163</v>
      </c>
      <c r="H62" s="36" t="s">
        <v>163</v>
      </c>
      <c r="I62" s="36" t="s">
        <v>163</v>
      </c>
      <c r="J62" s="35" t="s">
        <v>157</v>
      </c>
      <c r="K62" s="35" t="s">
        <v>143</v>
      </c>
      <c r="L62" t="s">
        <v>141</v>
      </c>
      <c r="M62" s="35" t="s">
        <v>158</v>
      </c>
    </row>
    <row r="63" spans="1:13" ht="26.4" x14ac:dyDescent="0.25">
      <c r="A63" s="34" t="s">
        <v>224</v>
      </c>
      <c r="B63" s="18">
        <v>6699842</v>
      </c>
      <c r="C63" s="37">
        <f>1500+1300+6000</f>
        <v>8800</v>
      </c>
      <c r="D63" s="36" t="s">
        <v>277</v>
      </c>
      <c r="E63" s="36" t="s">
        <v>278</v>
      </c>
      <c r="F63" s="36" t="s">
        <v>279</v>
      </c>
      <c r="G63" s="36" t="s">
        <v>163</v>
      </c>
      <c r="H63" s="36" t="s">
        <v>163</v>
      </c>
      <c r="I63" s="36" t="s">
        <v>163</v>
      </c>
      <c r="J63" s="35" t="s">
        <v>227</v>
      </c>
      <c r="K63" s="35">
        <v>130</v>
      </c>
      <c r="L63" t="s">
        <v>194</v>
      </c>
      <c r="M63" s="35" t="s">
        <v>158</v>
      </c>
    </row>
    <row r="64" spans="1:13" ht="26.4" x14ac:dyDescent="0.25">
      <c r="A64" s="34" t="s">
        <v>280</v>
      </c>
      <c r="B64" s="18">
        <v>17764523</v>
      </c>
      <c r="C64" s="37">
        <v>3500</v>
      </c>
      <c r="D64" s="36" t="s">
        <v>281</v>
      </c>
      <c r="E64" s="36" t="s">
        <v>282</v>
      </c>
      <c r="F64" s="36" t="s">
        <v>283</v>
      </c>
      <c r="G64" s="36" t="s">
        <v>163</v>
      </c>
      <c r="H64" s="36" t="s">
        <v>163</v>
      </c>
      <c r="I64" s="36" t="s">
        <v>163</v>
      </c>
      <c r="J64" s="35" t="s">
        <v>284</v>
      </c>
      <c r="K64" s="35" t="s">
        <v>285</v>
      </c>
      <c r="L64" t="s">
        <v>194</v>
      </c>
      <c r="M64" s="35" t="s">
        <v>158</v>
      </c>
    </row>
    <row r="65" spans="1:13" ht="26.4" x14ac:dyDescent="0.25">
      <c r="A65" s="34" t="s">
        <v>233</v>
      </c>
      <c r="B65" s="18">
        <v>16684026</v>
      </c>
      <c r="C65" s="37">
        <v>1000</v>
      </c>
      <c r="D65" s="36" t="s">
        <v>286</v>
      </c>
      <c r="E65" s="36" t="s">
        <v>287</v>
      </c>
      <c r="F65" s="36" t="s">
        <v>288</v>
      </c>
      <c r="G65" s="36" t="s">
        <v>163</v>
      </c>
      <c r="H65" s="36" t="s">
        <v>163</v>
      </c>
      <c r="I65" s="36" t="s">
        <v>163</v>
      </c>
      <c r="J65" s="35" t="s">
        <v>235</v>
      </c>
      <c r="K65" s="35">
        <v>278</v>
      </c>
      <c r="L65" s="35" t="s">
        <v>141</v>
      </c>
      <c r="M65" s="35" t="s">
        <v>158</v>
      </c>
    </row>
    <row r="66" spans="1:13" ht="26.4" x14ac:dyDescent="0.25">
      <c r="A66" s="34" t="s">
        <v>289</v>
      </c>
      <c r="B66" s="18">
        <v>29851400</v>
      </c>
      <c r="C66" s="37">
        <v>1500</v>
      </c>
      <c r="D66" s="36" t="s">
        <v>290</v>
      </c>
      <c r="E66" s="36" t="s">
        <v>287</v>
      </c>
      <c r="F66" s="36" t="s">
        <v>288</v>
      </c>
      <c r="G66" s="36" t="s">
        <v>163</v>
      </c>
      <c r="H66" s="36" t="s">
        <v>163</v>
      </c>
      <c r="I66" s="36" t="s">
        <v>163</v>
      </c>
      <c r="J66" s="35" t="s">
        <v>291</v>
      </c>
      <c r="K66" s="35" t="s">
        <v>285</v>
      </c>
      <c r="L66" s="35" t="s">
        <v>292</v>
      </c>
      <c r="M66" s="35" t="s">
        <v>158</v>
      </c>
    </row>
    <row r="67" spans="1:13" ht="26.4" x14ac:dyDescent="0.25">
      <c r="A67" s="34" t="s">
        <v>293</v>
      </c>
      <c r="B67" s="18">
        <v>14463557</v>
      </c>
      <c r="C67" s="37">
        <v>500</v>
      </c>
      <c r="D67" s="36" t="s">
        <v>294</v>
      </c>
      <c r="E67" s="36" t="s">
        <v>296</v>
      </c>
      <c r="F67" s="36" t="s">
        <v>295</v>
      </c>
      <c r="G67" s="36" t="s">
        <v>163</v>
      </c>
      <c r="H67" s="36" t="s">
        <v>163</v>
      </c>
      <c r="I67" s="36" t="s">
        <v>163</v>
      </c>
      <c r="J67" s="35" t="s">
        <v>297</v>
      </c>
      <c r="K67" s="35">
        <v>98</v>
      </c>
      <c r="L67" s="35" t="s">
        <v>298</v>
      </c>
      <c r="M67" s="35" t="s">
        <v>204</v>
      </c>
    </row>
    <row r="68" spans="1:13" ht="26.4" x14ac:dyDescent="0.25">
      <c r="A68" s="34" t="s">
        <v>299</v>
      </c>
      <c r="B68" s="18">
        <v>22140284</v>
      </c>
      <c r="C68" s="37">
        <v>3500</v>
      </c>
      <c r="D68" s="36" t="s">
        <v>300</v>
      </c>
      <c r="E68" s="36" t="s">
        <v>296</v>
      </c>
      <c r="F68" s="36" t="s">
        <v>295</v>
      </c>
      <c r="G68" s="36" t="s">
        <v>163</v>
      </c>
      <c r="H68" s="36" t="s">
        <v>163</v>
      </c>
      <c r="I68" s="36" t="s">
        <v>163</v>
      </c>
      <c r="J68" s="35" t="s">
        <v>301</v>
      </c>
      <c r="K68" s="35">
        <v>1445</v>
      </c>
      <c r="L68" s="35" t="s">
        <v>204</v>
      </c>
      <c r="M68" s="35" t="s">
        <v>204</v>
      </c>
    </row>
    <row r="69" spans="1:13" ht="26.4" x14ac:dyDescent="0.25">
      <c r="A69" s="34" t="s">
        <v>302</v>
      </c>
      <c r="B69" s="18">
        <v>22035018</v>
      </c>
      <c r="C69" s="37">
        <v>3000</v>
      </c>
      <c r="D69" s="36" t="s">
        <v>303</v>
      </c>
      <c r="E69" s="36" t="s">
        <v>296</v>
      </c>
      <c r="F69" s="36" t="s">
        <v>295</v>
      </c>
      <c r="G69" s="36" t="s">
        <v>163</v>
      </c>
      <c r="H69" s="36" t="s">
        <v>163</v>
      </c>
      <c r="I69" s="36" t="s">
        <v>163</v>
      </c>
      <c r="J69" s="35" t="s">
        <v>304</v>
      </c>
      <c r="K69" s="35">
        <v>251</v>
      </c>
      <c r="L69" s="35" t="s">
        <v>269</v>
      </c>
      <c r="M69" s="35" t="s">
        <v>158</v>
      </c>
    </row>
    <row r="70" spans="1:13" ht="26.4" x14ac:dyDescent="0.25">
      <c r="A70" s="34" t="s">
        <v>305</v>
      </c>
      <c r="B70" s="18">
        <v>25048749</v>
      </c>
      <c r="C70" s="37">
        <v>7000</v>
      </c>
      <c r="D70" s="36" t="s">
        <v>306</v>
      </c>
      <c r="E70" s="36" t="s">
        <v>296</v>
      </c>
      <c r="F70" s="36" t="s">
        <v>295</v>
      </c>
      <c r="G70" s="36" t="s">
        <v>163</v>
      </c>
      <c r="H70" s="36" t="s">
        <v>163</v>
      </c>
      <c r="I70" s="36" t="s">
        <v>163</v>
      </c>
      <c r="J70" s="35" t="s">
        <v>307</v>
      </c>
      <c r="K70" s="35">
        <v>1171</v>
      </c>
      <c r="L70" s="35" t="s">
        <v>308</v>
      </c>
      <c r="M70" s="35" t="s">
        <v>308</v>
      </c>
    </row>
    <row r="71" spans="1:13" ht="26.4" x14ac:dyDescent="0.25">
      <c r="A71" s="34" t="s">
        <v>309</v>
      </c>
      <c r="B71" s="18">
        <v>30325997</v>
      </c>
      <c r="C71" s="37">
        <v>2000</v>
      </c>
      <c r="D71" s="36" t="s">
        <v>310</v>
      </c>
      <c r="E71" s="36" t="s">
        <v>296</v>
      </c>
      <c r="F71" s="36" t="s">
        <v>295</v>
      </c>
      <c r="G71" s="36" t="s">
        <v>163</v>
      </c>
      <c r="H71" s="36" t="s">
        <v>163</v>
      </c>
      <c r="I71" s="36" t="s">
        <v>163</v>
      </c>
      <c r="J71" s="35" t="s">
        <v>311</v>
      </c>
      <c r="K71" s="35">
        <v>43</v>
      </c>
      <c r="L71" s="35" t="s">
        <v>312</v>
      </c>
      <c r="M71" s="35" t="s">
        <v>313</v>
      </c>
    </row>
    <row r="72" spans="1:13" ht="26.4" x14ac:dyDescent="0.25">
      <c r="A72" s="34" t="s">
        <v>314</v>
      </c>
      <c r="B72" s="18">
        <v>24991253</v>
      </c>
      <c r="C72" s="37">
        <v>2000</v>
      </c>
      <c r="D72" s="36" t="s">
        <v>315</v>
      </c>
      <c r="E72" s="36" t="s">
        <v>296</v>
      </c>
      <c r="F72" s="36" t="s">
        <v>295</v>
      </c>
      <c r="G72" s="36" t="s">
        <v>163</v>
      </c>
      <c r="H72" s="36" t="s">
        <v>163</v>
      </c>
      <c r="I72" s="36" t="s">
        <v>163</v>
      </c>
      <c r="J72" s="35" t="s">
        <v>316</v>
      </c>
      <c r="K72" s="35">
        <v>1351</v>
      </c>
      <c r="L72" s="35" t="s">
        <v>269</v>
      </c>
      <c r="M72" s="35" t="s">
        <v>313</v>
      </c>
    </row>
    <row r="73" spans="1:13" ht="26.4" x14ac:dyDescent="0.25">
      <c r="A73" s="34" t="s">
        <v>103</v>
      </c>
      <c r="B73" s="18">
        <v>31843161</v>
      </c>
      <c r="C73" s="37">
        <f>126*22.38</f>
        <v>2819.8799999999997</v>
      </c>
      <c r="D73" s="36" t="s">
        <v>317</v>
      </c>
      <c r="E73" s="36" t="s">
        <v>163</v>
      </c>
      <c r="F73" s="36" t="s">
        <v>159</v>
      </c>
      <c r="G73" s="36" t="s">
        <v>163</v>
      </c>
      <c r="H73" s="36" t="s">
        <v>163</v>
      </c>
      <c r="I73" s="36" t="s">
        <v>163</v>
      </c>
      <c r="J73" s="35" t="s">
        <v>318</v>
      </c>
      <c r="K73" s="35">
        <v>22</v>
      </c>
      <c r="L73" t="s">
        <v>141</v>
      </c>
      <c r="M73" s="35" t="s">
        <v>158</v>
      </c>
    </row>
    <row r="74" spans="1:13" ht="26.4" x14ac:dyDescent="0.25">
      <c r="A74" s="34" t="s">
        <v>224</v>
      </c>
      <c r="B74" s="18">
        <v>6699842</v>
      </c>
      <c r="C74" s="37">
        <v>1700</v>
      </c>
      <c r="D74" s="36" t="s">
        <v>319</v>
      </c>
      <c r="E74" s="36" t="s">
        <v>320</v>
      </c>
      <c r="F74" s="44" t="s">
        <v>321</v>
      </c>
      <c r="G74" s="36" t="s">
        <v>163</v>
      </c>
      <c r="H74" s="36" t="s">
        <v>163</v>
      </c>
      <c r="I74" s="36" t="s">
        <v>163</v>
      </c>
      <c r="J74" s="35" t="s">
        <v>227</v>
      </c>
      <c r="K74" s="35">
        <v>130</v>
      </c>
      <c r="L74" t="s">
        <v>194</v>
      </c>
      <c r="M74" s="35" t="s">
        <v>158</v>
      </c>
    </row>
    <row r="75" spans="1:13" ht="26.4" x14ac:dyDescent="0.25">
      <c r="A75" s="34" t="s">
        <v>228</v>
      </c>
      <c r="B75" s="18">
        <v>6699842</v>
      </c>
      <c r="C75" s="37">
        <v>4000</v>
      </c>
      <c r="D75" s="36" t="s">
        <v>322</v>
      </c>
      <c r="E75" s="36" t="s">
        <v>320</v>
      </c>
      <c r="F75" s="44" t="s">
        <v>321</v>
      </c>
      <c r="G75" s="36" t="s">
        <v>163</v>
      </c>
      <c r="H75" s="36" t="s">
        <v>163</v>
      </c>
      <c r="I75" s="36" t="s">
        <v>163</v>
      </c>
      <c r="J75" s="35" t="s">
        <v>232</v>
      </c>
      <c r="K75" s="35">
        <v>973</v>
      </c>
      <c r="L75" s="35" t="s">
        <v>141</v>
      </c>
      <c r="M75" s="35" t="s">
        <v>158</v>
      </c>
    </row>
    <row r="76" spans="1:13" ht="26.4" x14ac:dyDescent="0.25">
      <c r="A76" s="34" t="s">
        <v>224</v>
      </c>
      <c r="B76" s="18">
        <v>6699842</v>
      </c>
      <c r="C76" s="37">
        <v>1700</v>
      </c>
      <c r="D76" s="36" t="s">
        <v>323</v>
      </c>
      <c r="E76" s="36" t="s">
        <v>324</v>
      </c>
      <c r="F76" s="44" t="s">
        <v>325</v>
      </c>
      <c r="G76" s="36" t="s">
        <v>163</v>
      </c>
      <c r="H76" s="36" t="s">
        <v>163</v>
      </c>
      <c r="I76" s="36" t="s">
        <v>163</v>
      </c>
      <c r="J76" s="35" t="s">
        <v>227</v>
      </c>
      <c r="K76" s="35">
        <v>130</v>
      </c>
      <c r="L76" t="s">
        <v>194</v>
      </c>
      <c r="M76" s="35" t="s">
        <v>158</v>
      </c>
    </row>
    <row r="77" spans="1:13" ht="26.4" x14ac:dyDescent="0.25">
      <c r="A77" s="34" t="s">
        <v>224</v>
      </c>
      <c r="B77" s="18">
        <v>6699842</v>
      </c>
      <c r="C77" s="37">
        <v>6000</v>
      </c>
      <c r="D77" s="36" t="s">
        <v>326</v>
      </c>
      <c r="E77" s="36" t="s">
        <v>324</v>
      </c>
      <c r="F77" s="44" t="s">
        <v>325</v>
      </c>
      <c r="G77" s="36" t="s">
        <v>163</v>
      </c>
      <c r="H77" s="36" t="s">
        <v>163</v>
      </c>
      <c r="I77" s="36" t="s">
        <v>163</v>
      </c>
      <c r="J77" s="35" t="s">
        <v>227</v>
      </c>
      <c r="K77" s="35">
        <v>130</v>
      </c>
      <c r="L77" t="s">
        <v>194</v>
      </c>
      <c r="M77" s="35" t="s">
        <v>158</v>
      </c>
    </row>
    <row r="78" spans="1:13" ht="26.4" x14ac:dyDescent="0.25">
      <c r="A78" s="34" t="s">
        <v>224</v>
      </c>
      <c r="B78" s="18">
        <v>6699842</v>
      </c>
      <c r="C78" s="37">
        <v>1600</v>
      </c>
      <c r="D78" s="36" t="s">
        <v>327</v>
      </c>
      <c r="E78" s="36" t="s">
        <v>324</v>
      </c>
      <c r="F78" s="44" t="s">
        <v>325</v>
      </c>
      <c r="G78" s="36" t="s">
        <v>163</v>
      </c>
      <c r="H78" s="36" t="s">
        <v>163</v>
      </c>
      <c r="I78" s="36" t="s">
        <v>163</v>
      </c>
      <c r="J78" s="35" t="s">
        <v>227</v>
      </c>
      <c r="K78" s="35">
        <v>130</v>
      </c>
      <c r="L78" t="s">
        <v>194</v>
      </c>
      <c r="M78" s="35" t="s">
        <v>158</v>
      </c>
    </row>
    <row r="79" spans="1:13" ht="26.4" x14ac:dyDescent="0.25">
      <c r="A79" s="34" t="s">
        <v>280</v>
      </c>
      <c r="B79" s="18">
        <v>17764523</v>
      </c>
      <c r="C79" s="37">
        <v>2500</v>
      </c>
      <c r="D79" s="36" t="s">
        <v>328</v>
      </c>
      <c r="E79" s="36" t="s">
        <v>330</v>
      </c>
      <c r="F79" s="44" t="s">
        <v>329</v>
      </c>
      <c r="G79" s="36" t="s">
        <v>163</v>
      </c>
      <c r="H79" s="36" t="s">
        <v>163</v>
      </c>
      <c r="I79" s="36" t="s">
        <v>163</v>
      </c>
      <c r="J79" s="35" t="s">
        <v>284</v>
      </c>
      <c r="K79" s="35" t="s">
        <v>285</v>
      </c>
      <c r="L79" t="s">
        <v>194</v>
      </c>
      <c r="M79" s="35" t="s">
        <v>158</v>
      </c>
    </row>
    <row r="80" spans="1:13" ht="26.4" x14ac:dyDescent="0.25">
      <c r="A80" s="34" t="s">
        <v>280</v>
      </c>
      <c r="B80" s="18">
        <v>17764523</v>
      </c>
      <c r="C80" s="37">
        <v>2500</v>
      </c>
      <c r="D80" s="36" t="s">
        <v>331</v>
      </c>
      <c r="E80" s="44" t="s">
        <v>332</v>
      </c>
      <c r="F80" s="44" t="s">
        <v>329</v>
      </c>
      <c r="G80" s="36" t="s">
        <v>163</v>
      </c>
      <c r="H80" s="36" t="s">
        <v>163</v>
      </c>
      <c r="I80" s="36" t="s">
        <v>163</v>
      </c>
      <c r="J80" s="35" t="s">
        <v>284</v>
      </c>
      <c r="K80" s="35" t="s">
        <v>285</v>
      </c>
      <c r="L80" t="s">
        <v>194</v>
      </c>
      <c r="M80" s="35" t="s">
        <v>158</v>
      </c>
    </row>
    <row r="81" spans="1:13" ht="26.4" x14ac:dyDescent="0.25">
      <c r="A81" s="34" t="s">
        <v>333</v>
      </c>
      <c r="B81" s="18">
        <v>4623526</v>
      </c>
      <c r="C81" s="37">
        <v>1200</v>
      </c>
      <c r="D81" s="36" t="s">
        <v>334</v>
      </c>
      <c r="E81" s="36" t="s">
        <v>324</v>
      </c>
      <c r="F81" s="44" t="s">
        <v>325</v>
      </c>
      <c r="G81" s="36" t="s">
        <v>163</v>
      </c>
      <c r="H81" s="36" t="s">
        <v>163</v>
      </c>
      <c r="I81" s="36" t="s">
        <v>163</v>
      </c>
      <c r="J81" s="35" t="s">
        <v>208</v>
      </c>
      <c r="K81" s="35">
        <v>55</v>
      </c>
      <c r="L81" t="s">
        <v>194</v>
      </c>
      <c r="M81" s="35" t="s">
        <v>158</v>
      </c>
    </row>
    <row r="82" spans="1:13" ht="26.4" x14ac:dyDescent="0.25">
      <c r="A82" s="34" t="s">
        <v>254</v>
      </c>
      <c r="B82" s="18">
        <v>29204043</v>
      </c>
      <c r="C82" s="37">
        <v>2000</v>
      </c>
      <c r="D82" s="36" t="s">
        <v>253</v>
      </c>
      <c r="E82" s="36" t="s">
        <v>335</v>
      </c>
      <c r="F82" s="44" t="s">
        <v>329</v>
      </c>
      <c r="G82" s="36" t="s">
        <v>163</v>
      </c>
      <c r="H82" s="36" t="s">
        <v>163</v>
      </c>
      <c r="I82" s="36" t="s">
        <v>163</v>
      </c>
      <c r="J82" s="35" t="s">
        <v>255</v>
      </c>
      <c r="K82" s="35">
        <v>995</v>
      </c>
      <c r="L82" t="s">
        <v>194</v>
      </c>
      <c r="M82" s="35" t="s">
        <v>158</v>
      </c>
    </row>
    <row r="83" spans="1:13" ht="26.4" x14ac:dyDescent="0.25">
      <c r="A83" s="34" t="s">
        <v>336</v>
      </c>
      <c r="B83" s="18">
        <v>13191652</v>
      </c>
      <c r="C83" s="37">
        <v>4000</v>
      </c>
      <c r="D83" s="36" t="s">
        <v>337</v>
      </c>
      <c r="E83" s="36" t="s">
        <v>339</v>
      </c>
      <c r="F83" s="44" t="s">
        <v>329</v>
      </c>
      <c r="G83" s="36" t="s">
        <v>163</v>
      </c>
      <c r="H83" s="36" t="s">
        <v>163</v>
      </c>
      <c r="I83" s="36" t="s">
        <v>163</v>
      </c>
      <c r="J83" s="35" t="s">
        <v>338</v>
      </c>
      <c r="K83" s="35">
        <v>104</v>
      </c>
      <c r="L83" s="35" t="s">
        <v>141</v>
      </c>
      <c r="M83" s="35" t="s">
        <v>158</v>
      </c>
    </row>
    <row r="84" spans="1:13" ht="26.4" x14ac:dyDescent="0.25">
      <c r="A84" s="34" t="s">
        <v>260</v>
      </c>
      <c r="B84" s="18">
        <v>17911380</v>
      </c>
      <c r="C84" s="37">
        <v>3500</v>
      </c>
      <c r="D84" s="36" t="s">
        <v>340</v>
      </c>
      <c r="E84" s="36" t="s">
        <v>339</v>
      </c>
      <c r="F84" s="44" t="s">
        <v>329</v>
      </c>
      <c r="G84" s="36" t="s">
        <v>163</v>
      </c>
      <c r="H84" s="36" t="s">
        <v>163</v>
      </c>
      <c r="I84" s="36" t="s">
        <v>163</v>
      </c>
      <c r="J84" s="35" t="s">
        <v>264</v>
      </c>
      <c r="K84" s="35">
        <v>641</v>
      </c>
      <c r="L84" t="s">
        <v>204</v>
      </c>
      <c r="M84" s="35" t="s">
        <v>204</v>
      </c>
    </row>
    <row r="85" spans="1:13" ht="26.4" x14ac:dyDescent="0.25">
      <c r="A85" s="34" t="s">
        <v>341</v>
      </c>
      <c r="B85" s="18">
        <v>12135561</v>
      </c>
      <c r="C85" s="37">
        <v>1200</v>
      </c>
      <c r="D85" s="36" t="s">
        <v>342</v>
      </c>
      <c r="E85" s="36" t="s">
        <v>339</v>
      </c>
      <c r="F85" s="44" t="s">
        <v>329</v>
      </c>
      <c r="G85" s="36" t="s">
        <v>163</v>
      </c>
      <c r="H85" s="36" t="s">
        <v>163</v>
      </c>
      <c r="I85" s="36" t="s">
        <v>163</v>
      </c>
      <c r="J85" s="35" t="s">
        <v>343</v>
      </c>
      <c r="K85" s="35" t="s">
        <v>143</v>
      </c>
      <c r="L85" t="s">
        <v>344</v>
      </c>
      <c r="M85" s="35" t="s">
        <v>313</v>
      </c>
    </row>
    <row r="86" spans="1:13" ht="26.4" x14ac:dyDescent="0.25">
      <c r="A86" s="34" t="s">
        <v>280</v>
      </c>
      <c r="B86" s="18">
        <v>17764523</v>
      </c>
      <c r="C86" s="37">
        <v>6000</v>
      </c>
      <c r="D86" s="36" t="s">
        <v>345</v>
      </c>
      <c r="E86" s="44" t="s">
        <v>346</v>
      </c>
      <c r="F86" s="44" t="s">
        <v>329</v>
      </c>
      <c r="G86" s="36" t="s">
        <v>163</v>
      </c>
      <c r="H86" s="36" t="s">
        <v>163</v>
      </c>
      <c r="I86" s="36" t="s">
        <v>163</v>
      </c>
      <c r="J86" s="35" t="s">
        <v>284</v>
      </c>
      <c r="K86" s="35" t="s">
        <v>285</v>
      </c>
      <c r="L86" t="s">
        <v>194</v>
      </c>
      <c r="M86" s="35" t="s">
        <v>158</v>
      </c>
    </row>
    <row r="87" spans="1:13" ht="26.4" x14ac:dyDescent="0.25">
      <c r="A87" s="41" t="s">
        <v>347</v>
      </c>
      <c r="B87" s="42">
        <v>35654485</v>
      </c>
      <c r="C87" s="45">
        <v>1500</v>
      </c>
      <c r="D87" s="36" t="s">
        <v>348</v>
      </c>
      <c r="E87" t="s">
        <v>349</v>
      </c>
      <c r="F87" s="44" t="s">
        <v>329</v>
      </c>
      <c r="G87" s="36" t="s">
        <v>163</v>
      </c>
      <c r="H87" s="36" t="s">
        <v>163</v>
      </c>
      <c r="I87" s="36" t="s">
        <v>163</v>
      </c>
      <c r="J87" s="35" t="s">
        <v>350</v>
      </c>
      <c r="K87" t="s">
        <v>143</v>
      </c>
      <c r="L87" t="s">
        <v>292</v>
      </c>
      <c r="M87" s="35" t="s">
        <v>313</v>
      </c>
    </row>
    <row r="88" spans="1:13" ht="26.4" x14ac:dyDescent="0.25">
      <c r="A88" s="41" t="s">
        <v>351</v>
      </c>
      <c r="B88" s="42">
        <v>29204044</v>
      </c>
      <c r="C88" s="45">
        <v>1500</v>
      </c>
      <c r="D88" s="36" t="s">
        <v>352</v>
      </c>
      <c r="E88" s="35" t="s">
        <v>353</v>
      </c>
      <c r="F88" s="44" t="s">
        <v>329</v>
      </c>
      <c r="G88" s="36" t="s">
        <v>163</v>
      </c>
      <c r="H88" s="36" t="s">
        <v>163</v>
      </c>
      <c r="I88" s="36" t="s">
        <v>163</v>
      </c>
      <c r="J88" s="35" t="s">
        <v>255</v>
      </c>
      <c r="K88">
        <v>995</v>
      </c>
      <c r="L88" s="35" t="s">
        <v>194</v>
      </c>
      <c r="M88" s="35" t="s">
        <v>313</v>
      </c>
    </row>
    <row r="89" spans="1:13" ht="26.4" x14ac:dyDescent="0.25">
      <c r="A89" s="34" t="s">
        <v>280</v>
      </c>
      <c r="B89" s="18">
        <v>17764523</v>
      </c>
      <c r="C89" s="37">
        <v>2000</v>
      </c>
      <c r="D89" s="36" t="s">
        <v>354</v>
      </c>
      <c r="E89" s="44" t="s">
        <v>355</v>
      </c>
      <c r="F89" s="44" t="s">
        <v>329</v>
      </c>
      <c r="G89" s="36" t="s">
        <v>163</v>
      </c>
      <c r="H89" s="36" t="s">
        <v>163</v>
      </c>
      <c r="I89" s="36" t="s">
        <v>163</v>
      </c>
      <c r="J89" s="35" t="s">
        <v>284</v>
      </c>
      <c r="K89" s="35" t="s">
        <v>285</v>
      </c>
      <c r="L89" t="s">
        <v>194</v>
      </c>
      <c r="M89" s="35" t="s">
        <v>158</v>
      </c>
    </row>
    <row r="90" spans="1:13" ht="26.4" x14ac:dyDescent="0.25">
      <c r="A90" s="34" t="s">
        <v>96</v>
      </c>
      <c r="B90" s="18">
        <v>29069024</v>
      </c>
      <c r="C90" s="37">
        <f>91*22.38</f>
        <v>2036.58</v>
      </c>
      <c r="D90" s="36" t="s">
        <v>359</v>
      </c>
      <c r="E90" s="44" t="s">
        <v>357</v>
      </c>
      <c r="F90" s="36" t="s">
        <v>159</v>
      </c>
      <c r="G90" s="36" t="s">
        <v>163</v>
      </c>
      <c r="H90" s="36" t="s">
        <v>163</v>
      </c>
      <c r="I90" s="36" t="s">
        <v>163</v>
      </c>
      <c r="J90" s="35" t="s">
        <v>358</v>
      </c>
      <c r="K90" s="35" t="s">
        <v>143</v>
      </c>
      <c r="L90" t="s">
        <v>141</v>
      </c>
      <c r="M90" s="35" t="s">
        <v>158</v>
      </c>
    </row>
    <row r="91" spans="1:13" ht="26.4" x14ac:dyDescent="0.25">
      <c r="A91" s="34" t="s">
        <v>100</v>
      </c>
      <c r="B91" s="18">
        <v>24939938</v>
      </c>
      <c r="C91" s="37">
        <f>91*22.38</f>
        <v>2036.58</v>
      </c>
      <c r="D91" s="36" t="s">
        <v>359</v>
      </c>
      <c r="E91" s="44" t="s">
        <v>357</v>
      </c>
      <c r="F91" s="36" t="s">
        <v>159</v>
      </c>
      <c r="G91" s="36" t="s">
        <v>163</v>
      </c>
      <c r="H91" s="36" t="s">
        <v>163</v>
      </c>
      <c r="I91" s="36" t="s">
        <v>163</v>
      </c>
      <c r="J91" s="35" t="s">
        <v>157</v>
      </c>
      <c r="K91" s="35" t="s">
        <v>143</v>
      </c>
      <c r="L91" t="s">
        <v>141</v>
      </c>
      <c r="M91" s="35" t="s">
        <v>158</v>
      </c>
    </row>
    <row r="92" spans="1:13" ht="26.4" x14ac:dyDescent="0.25">
      <c r="A92" s="34" t="s">
        <v>135</v>
      </c>
      <c r="B92" s="18">
        <v>32888635</v>
      </c>
      <c r="C92" s="37">
        <f>66*22.38</f>
        <v>1477.08</v>
      </c>
      <c r="D92" s="36" t="s">
        <v>360</v>
      </c>
      <c r="E92" s="44" t="s">
        <v>357</v>
      </c>
      <c r="F92" s="36" t="s">
        <v>159</v>
      </c>
      <c r="G92" s="36" t="s">
        <v>163</v>
      </c>
      <c r="H92" s="36" t="s">
        <v>163</v>
      </c>
      <c r="I92" s="36" t="s">
        <v>163</v>
      </c>
      <c r="J92" s="35" t="s">
        <v>157</v>
      </c>
      <c r="K92" s="35" t="s">
        <v>143</v>
      </c>
      <c r="L92" t="s">
        <v>141</v>
      </c>
      <c r="M92" s="35" t="s">
        <v>158</v>
      </c>
    </row>
    <row r="93" spans="1:13" ht="26.4" x14ac:dyDescent="0.25">
      <c r="A93" s="34" t="s">
        <v>361</v>
      </c>
      <c r="B93" s="18">
        <v>34274622</v>
      </c>
      <c r="C93" s="37">
        <f>92*22.38</f>
        <v>2058.96</v>
      </c>
      <c r="D93" s="36" t="s">
        <v>356</v>
      </c>
      <c r="E93" s="44" t="s">
        <v>357</v>
      </c>
      <c r="F93" s="36" t="s">
        <v>159</v>
      </c>
      <c r="G93" s="36" t="s">
        <v>163</v>
      </c>
      <c r="H93" s="36" t="s">
        <v>163</v>
      </c>
      <c r="I93" s="36" t="s">
        <v>163</v>
      </c>
      <c r="J93" s="35" t="s">
        <v>157</v>
      </c>
      <c r="K93" s="35" t="s">
        <v>143</v>
      </c>
      <c r="L93" t="s">
        <v>141</v>
      </c>
      <c r="M93" s="35" t="s">
        <v>158</v>
      </c>
    </row>
    <row r="94" spans="1:13" ht="26.4" x14ac:dyDescent="0.25">
      <c r="A94" s="34" t="s">
        <v>101</v>
      </c>
      <c r="B94" s="18">
        <v>24221323</v>
      </c>
      <c r="C94" s="37">
        <f>95*22.38</f>
        <v>2126.1</v>
      </c>
      <c r="D94" s="36" t="s">
        <v>362</v>
      </c>
      <c r="E94" s="44" t="s">
        <v>357</v>
      </c>
      <c r="F94" s="36" t="s">
        <v>159</v>
      </c>
      <c r="G94" s="36" t="s">
        <v>163</v>
      </c>
      <c r="H94" s="36" t="s">
        <v>163</v>
      </c>
      <c r="I94" s="36" t="s">
        <v>163</v>
      </c>
      <c r="J94" s="35" t="s">
        <v>157</v>
      </c>
      <c r="K94" s="35" t="s">
        <v>143</v>
      </c>
      <c r="L94" t="s">
        <v>141</v>
      </c>
      <c r="M94" s="35" t="s">
        <v>158</v>
      </c>
    </row>
    <row r="95" spans="1:13" ht="26.4" x14ac:dyDescent="0.25">
      <c r="A95" s="34" t="s">
        <v>134</v>
      </c>
      <c r="B95" s="18">
        <v>36795955</v>
      </c>
      <c r="C95" s="37">
        <f>95*22.38</f>
        <v>2126.1</v>
      </c>
      <c r="D95" s="36" t="s">
        <v>362</v>
      </c>
      <c r="E95" s="44" t="s">
        <v>357</v>
      </c>
      <c r="F95" s="36" t="s">
        <v>159</v>
      </c>
      <c r="G95" s="36" t="s">
        <v>163</v>
      </c>
      <c r="H95" s="36" t="s">
        <v>163</v>
      </c>
      <c r="I95" s="36" t="s">
        <v>163</v>
      </c>
      <c r="J95" s="35" t="s">
        <v>157</v>
      </c>
      <c r="K95" s="35" t="s">
        <v>143</v>
      </c>
      <c r="L95" t="s">
        <v>141</v>
      </c>
      <c r="M95" s="35" t="s">
        <v>158</v>
      </c>
    </row>
    <row r="96" spans="1:13" ht="26.4" x14ac:dyDescent="0.25">
      <c r="A96" s="34" t="s">
        <v>97</v>
      </c>
      <c r="B96" s="18">
        <v>18595248</v>
      </c>
      <c r="C96" s="37">
        <f>91*22.38</f>
        <v>2036.58</v>
      </c>
      <c r="D96" s="36" t="s">
        <v>359</v>
      </c>
      <c r="E96" s="44" t="s">
        <v>357</v>
      </c>
      <c r="F96" s="36" t="s">
        <v>159</v>
      </c>
      <c r="G96" s="36" t="s">
        <v>163</v>
      </c>
      <c r="H96" s="36" t="s">
        <v>163</v>
      </c>
      <c r="I96" s="36" t="s">
        <v>163</v>
      </c>
      <c r="J96" s="35" t="s">
        <v>157</v>
      </c>
      <c r="K96" s="35" t="s">
        <v>143</v>
      </c>
      <c r="L96" t="s">
        <v>141</v>
      </c>
      <c r="M96" s="35" t="s">
        <v>158</v>
      </c>
    </row>
    <row r="97" spans="1:13" ht="26.4" x14ac:dyDescent="0.25">
      <c r="A97" s="34" t="s">
        <v>364</v>
      </c>
      <c r="B97" s="18">
        <v>36986932</v>
      </c>
      <c r="C97" s="37">
        <f>93*22.38</f>
        <v>2081.3399999999997</v>
      </c>
      <c r="D97" s="36" t="s">
        <v>363</v>
      </c>
      <c r="E97" s="44" t="s">
        <v>357</v>
      </c>
      <c r="F97" s="36" t="s">
        <v>159</v>
      </c>
      <c r="G97" s="36" t="s">
        <v>163</v>
      </c>
      <c r="H97" s="36" t="s">
        <v>163</v>
      </c>
      <c r="I97" s="36" t="s">
        <v>163</v>
      </c>
      <c r="J97" s="35" t="s">
        <v>157</v>
      </c>
      <c r="K97" s="35" t="s">
        <v>143</v>
      </c>
      <c r="L97" t="s">
        <v>141</v>
      </c>
      <c r="M97" s="35" t="s">
        <v>158</v>
      </c>
    </row>
    <row r="98" spans="1:13" ht="26.4" x14ac:dyDescent="0.25">
      <c r="A98" s="41" t="s">
        <v>195</v>
      </c>
      <c r="B98" s="42">
        <v>33017391</v>
      </c>
      <c r="C98" s="46">
        <v>1500</v>
      </c>
      <c r="D98" s="36" t="s">
        <v>196</v>
      </c>
      <c r="E98" s="36" t="s">
        <v>197</v>
      </c>
      <c r="F98" s="36" t="s">
        <v>163</v>
      </c>
      <c r="G98" s="36" t="s">
        <v>163</v>
      </c>
      <c r="H98" s="36" t="s">
        <v>163</v>
      </c>
      <c r="I98" s="36" t="s">
        <v>163</v>
      </c>
      <c r="J98" s="43" t="s">
        <v>198</v>
      </c>
      <c r="K98" s="43" t="s">
        <v>143</v>
      </c>
      <c r="L98" s="43" t="s">
        <v>199</v>
      </c>
      <c r="M98" s="43" t="s">
        <v>158</v>
      </c>
    </row>
    <row r="99" spans="1:13" ht="26.4" x14ac:dyDescent="0.25">
      <c r="A99" s="41" t="s">
        <v>365</v>
      </c>
      <c r="B99" s="42">
        <v>29860938</v>
      </c>
      <c r="C99" s="46">
        <v>42000</v>
      </c>
      <c r="D99" s="43" t="s">
        <v>366</v>
      </c>
      <c r="E99" s="36" t="s">
        <v>367</v>
      </c>
      <c r="F99" s="36" t="s">
        <v>163</v>
      </c>
      <c r="G99" s="36" t="s">
        <v>163</v>
      </c>
      <c r="H99" s="36" t="s">
        <v>163</v>
      </c>
      <c r="I99" s="36" t="s">
        <v>163</v>
      </c>
      <c r="J99" s="43" t="s">
        <v>368</v>
      </c>
      <c r="K99">
        <v>823</v>
      </c>
      <c r="L99" s="43" t="s">
        <v>194</v>
      </c>
      <c r="M99" s="43" t="s">
        <v>158</v>
      </c>
    </row>
    <row r="100" spans="1:13" ht="26.4" x14ac:dyDescent="0.25">
      <c r="A100" s="41" t="s">
        <v>369</v>
      </c>
      <c r="B100" s="42">
        <v>20534533</v>
      </c>
      <c r="C100" s="46">
        <v>1200</v>
      </c>
      <c r="D100" s="43" t="s">
        <v>370</v>
      </c>
      <c r="E100" s="44" t="s">
        <v>371</v>
      </c>
      <c r="F100" s="36" t="s">
        <v>372</v>
      </c>
      <c r="G100" s="36" t="s">
        <v>163</v>
      </c>
      <c r="H100" s="36" t="s">
        <v>163</v>
      </c>
      <c r="I100" s="36" t="s">
        <v>163</v>
      </c>
      <c r="J100" s="35" t="s">
        <v>373</v>
      </c>
      <c r="K100" t="s">
        <v>143</v>
      </c>
      <c r="L100" t="s">
        <v>141</v>
      </c>
      <c r="M100" s="35" t="s">
        <v>313</v>
      </c>
    </row>
    <row r="101" spans="1:13" ht="26.4" x14ac:dyDescent="0.25">
      <c r="A101" s="34" t="s">
        <v>374</v>
      </c>
      <c r="B101" s="18">
        <v>24259703</v>
      </c>
      <c r="C101" s="37">
        <v>1800</v>
      </c>
      <c r="D101" s="36" t="s">
        <v>375</v>
      </c>
      <c r="E101" s="36" t="s">
        <v>376</v>
      </c>
      <c r="F101" s="36" t="s">
        <v>159</v>
      </c>
      <c r="G101" s="36" t="s">
        <v>163</v>
      </c>
      <c r="H101" s="36" t="s">
        <v>163</v>
      </c>
      <c r="I101" s="36" t="s">
        <v>163</v>
      </c>
      <c r="J101" s="35" t="s">
        <v>377</v>
      </c>
      <c r="K101" s="35" t="s">
        <v>143</v>
      </c>
      <c r="L101" t="s">
        <v>378</v>
      </c>
      <c r="M101" s="35" t="s">
        <v>313</v>
      </c>
    </row>
    <row r="102" spans="1:13" ht="26.4" x14ac:dyDescent="0.25">
      <c r="A102" s="34" t="s">
        <v>224</v>
      </c>
      <c r="B102" s="18">
        <v>6699842</v>
      </c>
      <c r="C102" s="37">
        <f>1600+1800</f>
        <v>3400</v>
      </c>
      <c r="D102" s="36" t="s">
        <v>381</v>
      </c>
      <c r="E102" s="36" t="s">
        <v>379</v>
      </c>
      <c r="F102" s="36" t="s">
        <v>380</v>
      </c>
      <c r="G102" s="36" t="s">
        <v>163</v>
      </c>
      <c r="H102" s="36" t="s">
        <v>163</v>
      </c>
      <c r="I102" s="36" t="s">
        <v>163</v>
      </c>
      <c r="J102" s="35" t="s">
        <v>227</v>
      </c>
      <c r="K102" s="35">
        <v>130</v>
      </c>
      <c r="L102" t="s">
        <v>194</v>
      </c>
      <c r="M102" s="35" t="s">
        <v>158</v>
      </c>
    </row>
    <row r="103" spans="1:13" ht="26.4" x14ac:dyDescent="0.25">
      <c r="A103" s="34" t="s">
        <v>382</v>
      </c>
      <c r="B103" s="18">
        <v>22258748</v>
      </c>
      <c r="C103" s="37">
        <v>1700</v>
      </c>
      <c r="D103" s="36" t="s">
        <v>383</v>
      </c>
      <c r="E103" s="36" t="s">
        <v>376</v>
      </c>
      <c r="F103" s="36" t="s">
        <v>159</v>
      </c>
      <c r="G103" s="36" t="s">
        <v>163</v>
      </c>
      <c r="H103" s="36" t="s">
        <v>163</v>
      </c>
      <c r="I103" s="36" t="s">
        <v>163</v>
      </c>
      <c r="J103" s="35" t="s">
        <v>384</v>
      </c>
      <c r="K103" s="35" t="s">
        <v>143</v>
      </c>
      <c r="L103" t="s">
        <v>385</v>
      </c>
      <c r="M103" s="35" t="s">
        <v>204</v>
      </c>
    </row>
    <row r="104" spans="1:13" ht="26.4" x14ac:dyDescent="0.25">
      <c r="A104" s="34" t="s">
        <v>224</v>
      </c>
      <c r="B104" s="18">
        <v>6699842</v>
      </c>
      <c r="C104" s="37">
        <v>1600</v>
      </c>
      <c r="D104" s="36" t="s">
        <v>386</v>
      </c>
      <c r="E104" s="36" t="s">
        <v>376</v>
      </c>
      <c r="F104" s="36" t="s">
        <v>159</v>
      </c>
      <c r="G104" s="36" t="s">
        <v>163</v>
      </c>
      <c r="H104" s="36" t="s">
        <v>163</v>
      </c>
      <c r="I104" s="36" t="s">
        <v>163</v>
      </c>
      <c r="J104" s="35" t="s">
        <v>227</v>
      </c>
      <c r="K104" s="35">
        <v>130</v>
      </c>
      <c r="L104" t="s">
        <v>194</v>
      </c>
      <c r="M104" s="35" t="s">
        <v>158</v>
      </c>
    </row>
    <row r="105" spans="1:13" ht="26.4" x14ac:dyDescent="0.25">
      <c r="A105" s="34" t="s">
        <v>341</v>
      </c>
      <c r="B105" s="18">
        <v>12135561</v>
      </c>
      <c r="C105" s="37">
        <v>2000</v>
      </c>
      <c r="D105" s="36" t="s">
        <v>387</v>
      </c>
      <c r="E105" s="36" t="s">
        <v>376</v>
      </c>
      <c r="F105" s="36" t="s">
        <v>159</v>
      </c>
      <c r="G105" s="36" t="s">
        <v>163</v>
      </c>
      <c r="H105" s="36" t="s">
        <v>163</v>
      </c>
      <c r="I105" s="36" t="s">
        <v>163</v>
      </c>
      <c r="J105" s="35" t="s">
        <v>343</v>
      </c>
      <c r="K105" s="35" t="s">
        <v>143</v>
      </c>
      <c r="L105" t="s">
        <v>344</v>
      </c>
      <c r="M105" s="35" t="s">
        <v>313</v>
      </c>
    </row>
    <row r="106" spans="1:13" ht="26.4" x14ac:dyDescent="0.25">
      <c r="A106" s="34" t="s">
        <v>280</v>
      </c>
      <c r="B106" s="18">
        <v>17764523</v>
      </c>
      <c r="C106" s="37">
        <v>5500</v>
      </c>
      <c r="D106" s="36" t="s">
        <v>388</v>
      </c>
      <c r="E106" s="36" t="s">
        <v>376</v>
      </c>
      <c r="F106" s="36" t="s">
        <v>159</v>
      </c>
      <c r="G106" s="36" t="s">
        <v>163</v>
      </c>
      <c r="H106" s="36" t="s">
        <v>163</v>
      </c>
      <c r="I106" s="36" t="s">
        <v>163</v>
      </c>
      <c r="J106" s="35" t="s">
        <v>284</v>
      </c>
      <c r="K106" s="35" t="s">
        <v>285</v>
      </c>
      <c r="L106" t="s">
        <v>194</v>
      </c>
      <c r="M106" s="35" t="s">
        <v>158</v>
      </c>
    </row>
    <row r="107" spans="1:13" ht="26.4" x14ac:dyDescent="0.25">
      <c r="A107" s="34" t="s">
        <v>389</v>
      </c>
      <c r="B107" s="18">
        <v>13332218</v>
      </c>
      <c r="C107" s="37">
        <v>1800</v>
      </c>
      <c r="D107" s="36" t="s">
        <v>390</v>
      </c>
      <c r="E107" s="36" t="s">
        <v>391</v>
      </c>
      <c r="F107" s="36" t="s">
        <v>159</v>
      </c>
      <c r="G107" s="36" t="s">
        <v>163</v>
      </c>
      <c r="H107" s="36" t="s">
        <v>163</v>
      </c>
      <c r="I107" s="36" t="s">
        <v>163</v>
      </c>
      <c r="J107" s="35" t="s">
        <v>392</v>
      </c>
      <c r="K107" s="35">
        <v>54</v>
      </c>
      <c r="L107" t="s">
        <v>393</v>
      </c>
      <c r="M107" s="35" t="s">
        <v>204</v>
      </c>
    </row>
    <row r="108" spans="1:13" ht="26.4" x14ac:dyDescent="0.25">
      <c r="A108" s="34" t="s">
        <v>394</v>
      </c>
      <c r="B108" s="18">
        <v>22687540</v>
      </c>
      <c r="C108" s="37">
        <v>1800</v>
      </c>
      <c r="D108" s="36" t="s">
        <v>395</v>
      </c>
      <c r="E108" s="36" t="s">
        <v>391</v>
      </c>
      <c r="F108" s="36" t="s">
        <v>159</v>
      </c>
      <c r="G108" s="36" t="s">
        <v>163</v>
      </c>
      <c r="H108" s="36" t="s">
        <v>163</v>
      </c>
      <c r="I108" s="36" t="s">
        <v>163</v>
      </c>
      <c r="J108" s="35" t="s">
        <v>316</v>
      </c>
      <c r="K108" s="35" t="s">
        <v>143</v>
      </c>
      <c r="L108" s="35" t="s">
        <v>396</v>
      </c>
      <c r="M108" s="35" t="s">
        <v>242</v>
      </c>
    </row>
    <row r="109" spans="1:13" ht="26.4" x14ac:dyDescent="0.25">
      <c r="A109" s="34" t="s">
        <v>400</v>
      </c>
      <c r="B109" s="18">
        <v>26264690</v>
      </c>
      <c r="C109" s="37">
        <v>3600</v>
      </c>
      <c r="D109" s="36" t="s">
        <v>397</v>
      </c>
      <c r="E109" s="36" t="s">
        <v>398</v>
      </c>
      <c r="F109" s="36" t="s">
        <v>159</v>
      </c>
      <c r="G109" s="36" t="s">
        <v>163</v>
      </c>
      <c r="H109" s="36" t="s">
        <v>163</v>
      </c>
      <c r="I109" s="36" t="s">
        <v>163</v>
      </c>
      <c r="J109" s="35" t="s">
        <v>399</v>
      </c>
      <c r="K109" s="35">
        <v>466</v>
      </c>
      <c r="L109" s="35" t="s">
        <v>204</v>
      </c>
      <c r="M109" s="35" t="s">
        <v>204</v>
      </c>
    </row>
    <row r="110" spans="1:13" ht="26.4" x14ac:dyDescent="0.25">
      <c r="A110" s="34" t="s">
        <v>401</v>
      </c>
      <c r="B110" s="18">
        <v>32037121</v>
      </c>
      <c r="C110" s="37">
        <v>2500</v>
      </c>
      <c r="D110" s="36" t="s">
        <v>402</v>
      </c>
      <c r="E110" s="36" t="s">
        <v>398</v>
      </c>
      <c r="F110" s="36" t="s">
        <v>159</v>
      </c>
      <c r="G110" s="36" t="s">
        <v>163</v>
      </c>
      <c r="H110" s="36" t="s">
        <v>163</v>
      </c>
      <c r="I110" s="36" t="s">
        <v>163</v>
      </c>
      <c r="J110" s="35" t="s">
        <v>403</v>
      </c>
      <c r="K110" s="35">
        <v>920</v>
      </c>
      <c r="L110" s="35" t="s">
        <v>404</v>
      </c>
      <c r="M110" s="35" t="s">
        <v>313</v>
      </c>
    </row>
    <row r="111" spans="1:13" ht="26.4" x14ac:dyDescent="0.25">
      <c r="A111" s="34" t="s">
        <v>405</v>
      </c>
      <c r="B111" s="18">
        <v>13268075</v>
      </c>
      <c r="C111" s="37">
        <v>800</v>
      </c>
      <c r="D111" s="36" t="s">
        <v>406</v>
      </c>
      <c r="E111" s="36" t="s">
        <v>407</v>
      </c>
      <c r="F111" s="36" t="s">
        <v>159</v>
      </c>
      <c r="G111" s="36" t="s">
        <v>163</v>
      </c>
      <c r="H111" s="36" t="s">
        <v>163</v>
      </c>
      <c r="I111" s="36" t="s">
        <v>163</v>
      </c>
      <c r="J111" s="35" t="s">
        <v>408</v>
      </c>
      <c r="K111" s="35">
        <v>836</v>
      </c>
      <c r="L111" s="35" t="s">
        <v>409</v>
      </c>
      <c r="M111" s="35" t="s">
        <v>313</v>
      </c>
    </row>
    <row r="112" spans="1:13" ht="26.4" x14ac:dyDescent="0.25">
      <c r="A112" s="34" t="s">
        <v>410</v>
      </c>
      <c r="B112" s="18">
        <v>25850841</v>
      </c>
      <c r="C112" s="37">
        <v>2000</v>
      </c>
      <c r="D112" s="36" t="s">
        <v>411</v>
      </c>
      <c r="E112" s="44" t="s">
        <v>332</v>
      </c>
      <c r="F112" s="36" t="s">
        <v>159</v>
      </c>
      <c r="G112" s="36" t="s">
        <v>163</v>
      </c>
      <c r="H112" s="36" t="s">
        <v>163</v>
      </c>
      <c r="I112" s="36" t="s">
        <v>163</v>
      </c>
      <c r="J112" s="35" t="s">
        <v>412</v>
      </c>
      <c r="K112" s="35">
        <v>148</v>
      </c>
      <c r="L112" s="35" t="s">
        <v>378</v>
      </c>
      <c r="M112" s="35" t="s">
        <v>313</v>
      </c>
    </row>
    <row r="113" spans="1:13" ht="26.4" x14ac:dyDescent="0.25">
      <c r="A113" s="41" t="s">
        <v>195</v>
      </c>
      <c r="B113" s="42">
        <v>33017391</v>
      </c>
      <c r="C113" s="47">
        <v>300</v>
      </c>
      <c r="D113" s="36" t="s">
        <v>413</v>
      </c>
      <c r="E113" s="44" t="s">
        <v>332</v>
      </c>
      <c r="F113" s="36" t="s">
        <v>163</v>
      </c>
      <c r="G113" s="36" t="s">
        <v>163</v>
      </c>
      <c r="H113" s="36" t="s">
        <v>163</v>
      </c>
      <c r="I113" s="36" t="s">
        <v>163</v>
      </c>
      <c r="J113" s="43" t="s">
        <v>198</v>
      </c>
      <c r="K113" s="43" t="s">
        <v>143</v>
      </c>
      <c r="L113" s="43" t="s">
        <v>199</v>
      </c>
      <c r="M113" s="43" t="s">
        <v>414</v>
      </c>
    </row>
    <row r="114" spans="1:13" ht="26.4" x14ac:dyDescent="0.25">
      <c r="A114" s="34" t="s">
        <v>415</v>
      </c>
      <c r="B114" s="18">
        <v>29838132</v>
      </c>
      <c r="C114" s="37">
        <v>1800</v>
      </c>
      <c r="D114" s="36" t="s">
        <v>416</v>
      </c>
      <c r="E114" s="36" t="s">
        <v>417</v>
      </c>
      <c r="F114" s="36" t="s">
        <v>159</v>
      </c>
      <c r="G114" s="36" t="s">
        <v>163</v>
      </c>
      <c r="H114" s="36" t="s">
        <v>163</v>
      </c>
      <c r="I114" s="36" t="s">
        <v>163</v>
      </c>
      <c r="J114" s="35" t="s">
        <v>418</v>
      </c>
      <c r="K114" s="35" t="s">
        <v>143</v>
      </c>
      <c r="L114" s="35" t="s">
        <v>419</v>
      </c>
      <c r="M114" s="35" t="s">
        <v>313</v>
      </c>
    </row>
    <row r="115" spans="1:13" ht="26.4" x14ac:dyDescent="0.25">
      <c r="A115" s="34" t="s">
        <v>420</v>
      </c>
      <c r="B115" s="18">
        <v>8652546</v>
      </c>
      <c r="C115" s="37">
        <v>500</v>
      </c>
      <c r="D115" s="36" t="s">
        <v>421</v>
      </c>
      <c r="E115" s="36" t="s">
        <v>422</v>
      </c>
      <c r="F115" s="36" t="s">
        <v>159</v>
      </c>
      <c r="G115" s="36" t="s">
        <v>163</v>
      </c>
      <c r="H115" s="36" t="s">
        <v>163</v>
      </c>
      <c r="I115" s="36" t="s">
        <v>163</v>
      </c>
      <c r="J115" s="35" t="s">
        <v>418</v>
      </c>
      <c r="K115" s="35" t="s">
        <v>143</v>
      </c>
      <c r="L115" s="35" t="s">
        <v>419</v>
      </c>
      <c r="M115" s="35" t="s">
        <v>313</v>
      </c>
    </row>
    <row r="116" spans="1:13" ht="26.4" x14ac:dyDescent="0.25">
      <c r="A116" s="34" t="s">
        <v>423</v>
      </c>
      <c r="B116" s="18">
        <v>12811020</v>
      </c>
      <c r="C116" s="37">
        <v>3000</v>
      </c>
      <c r="D116" s="36" t="s">
        <v>424</v>
      </c>
      <c r="E116" s="36" t="s">
        <v>417</v>
      </c>
      <c r="F116" s="36" t="s">
        <v>159</v>
      </c>
      <c r="G116" s="36" t="s">
        <v>163</v>
      </c>
      <c r="H116" s="36" t="s">
        <v>163</v>
      </c>
      <c r="I116" s="36" t="s">
        <v>163</v>
      </c>
      <c r="J116" s="35" t="s">
        <v>425</v>
      </c>
      <c r="K116" s="35">
        <v>1989</v>
      </c>
      <c r="L116" s="35" t="s">
        <v>426</v>
      </c>
      <c r="M116" s="35" t="s">
        <v>313</v>
      </c>
    </row>
    <row r="117" spans="1:13" ht="26.4" x14ac:dyDescent="0.25">
      <c r="A117" s="34" t="s">
        <v>427</v>
      </c>
      <c r="B117" s="18">
        <v>24096888</v>
      </c>
      <c r="C117" s="37">
        <v>1000</v>
      </c>
      <c r="D117" s="36" t="s">
        <v>428</v>
      </c>
      <c r="E117" s="36" t="s">
        <v>417</v>
      </c>
      <c r="F117" s="36" t="s">
        <v>159</v>
      </c>
      <c r="G117" s="36" t="s">
        <v>163</v>
      </c>
      <c r="H117" s="36" t="s">
        <v>163</v>
      </c>
      <c r="I117" s="36" t="s">
        <v>163</v>
      </c>
      <c r="J117" s="35" t="s">
        <v>429</v>
      </c>
      <c r="K117" s="35">
        <v>355</v>
      </c>
      <c r="L117" s="35" t="s">
        <v>141</v>
      </c>
      <c r="M117" s="35" t="s">
        <v>313</v>
      </c>
    </row>
    <row r="118" spans="1:13" ht="26.4" x14ac:dyDescent="0.25">
      <c r="A118" s="34" t="s">
        <v>430</v>
      </c>
      <c r="B118" s="18">
        <v>10056699</v>
      </c>
      <c r="C118" s="37">
        <v>800</v>
      </c>
      <c r="D118" s="36" t="s">
        <v>421</v>
      </c>
      <c r="E118" s="36" t="s">
        <v>422</v>
      </c>
      <c r="F118" s="36" t="s">
        <v>159</v>
      </c>
      <c r="G118" s="36" t="s">
        <v>163</v>
      </c>
      <c r="H118" s="36" t="s">
        <v>163</v>
      </c>
      <c r="I118" s="36" t="s">
        <v>163</v>
      </c>
      <c r="J118" s="35" t="s">
        <v>431</v>
      </c>
      <c r="K118" s="35">
        <v>821</v>
      </c>
      <c r="L118" s="35" t="s">
        <v>194</v>
      </c>
      <c r="M118" s="35" t="s">
        <v>313</v>
      </c>
    </row>
    <row r="119" spans="1:13" ht="26.4" x14ac:dyDescent="0.25">
      <c r="A119" s="34" t="s">
        <v>248</v>
      </c>
      <c r="B119" s="18">
        <v>14411009</v>
      </c>
      <c r="C119" s="37">
        <v>2000</v>
      </c>
      <c r="D119" s="36" t="s">
        <v>432</v>
      </c>
      <c r="E119" s="36" t="s">
        <v>417</v>
      </c>
      <c r="F119" s="36" t="s">
        <v>159</v>
      </c>
      <c r="G119" s="36" t="s">
        <v>163</v>
      </c>
      <c r="H119" s="36" t="s">
        <v>163</v>
      </c>
      <c r="I119" s="36" t="s">
        <v>163</v>
      </c>
      <c r="J119" s="35" t="s">
        <v>252</v>
      </c>
      <c r="K119" s="35">
        <v>1000</v>
      </c>
      <c r="L119" s="35" t="s">
        <v>194</v>
      </c>
      <c r="M119" s="35" t="s">
        <v>313</v>
      </c>
    </row>
    <row r="120" spans="1:13" ht="26.4" x14ac:dyDescent="0.25">
      <c r="A120" s="34" t="s">
        <v>361</v>
      </c>
      <c r="B120" s="18">
        <v>34274622</v>
      </c>
      <c r="C120" s="37">
        <f>235*22.38</f>
        <v>5259.3</v>
      </c>
      <c r="D120" s="36" t="s">
        <v>438</v>
      </c>
      <c r="E120" s="44" t="s">
        <v>357</v>
      </c>
      <c r="F120" s="36" t="s">
        <v>159</v>
      </c>
      <c r="G120" s="36" t="s">
        <v>163</v>
      </c>
      <c r="H120" s="36" t="s">
        <v>163</v>
      </c>
      <c r="I120" s="36" t="s">
        <v>163</v>
      </c>
      <c r="J120" s="35" t="s">
        <v>157</v>
      </c>
      <c r="K120" s="35" t="s">
        <v>143</v>
      </c>
      <c r="L120" t="s">
        <v>141</v>
      </c>
      <c r="M120" s="35" t="s">
        <v>158</v>
      </c>
    </row>
    <row r="121" spans="1:13" ht="26.4" x14ac:dyDescent="0.25">
      <c r="A121" s="34" t="s">
        <v>134</v>
      </c>
      <c r="B121" s="18">
        <v>36795955</v>
      </c>
      <c r="C121" s="37">
        <f>226*22.38</f>
        <v>5057.88</v>
      </c>
      <c r="D121" s="36" t="s">
        <v>439</v>
      </c>
      <c r="E121" s="36" t="s">
        <v>163</v>
      </c>
      <c r="F121" s="36" t="s">
        <v>159</v>
      </c>
      <c r="G121" s="36" t="s">
        <v>163</v>
      </c>
      <c r="H121" s="36" t="s">
        <v>163</v>
      </c>
      <c r="I121" s="36" t="s">
        <v>163</v>
      </c>
      <c r="J121" s="35" t="s">
        <v>157</v>
      </c>
      <c r="K121" s="35" t="s">
        <v>143</v>
      </c>
      <c r="L121" t="s">
        <v>141</v>
      </c>
      <c r="M121" s="35" t="s">
        <v>158</v>
      </c>
    </row>
    <row r="122" spans="1:13" ht="26.4" x14ac:dyDescent="0.25">
      <c r="A122" s="34" t="s">
        <v>100</v>
      </c>
      <c r="B122" s="18">
        <v>24939938</v>
      </c>
      <c r="C122" s="37">
        <f>226*22.38</f>
        <v>5057.88</v>
      </c>
      <c r="D122" s="36" t="s">
        <v>439</v>
      </c>
      <c r="E122" s="44" t="s">
        <v>357</v>
      </c>
      <c r="F122" s="36" t="s">
        <v>159</v>
      </c>
      <c r="G122" s="36" t="s">
        <v>163</v>
      </c>
      <c r="H122" s="36" t="s">
        <v>163</v>
      </c>
      <c r="I122" s="36" t="s">
        <v>163</v>
      </c>
      <c r="J122" s="35" t="s">
        <v>157</v>
      </c>
      <c r="K122" s="35" t="s">
        <v>143</v>
      </c>
      <c r="L122" t="s">
        <v>141</v>
      </c>
      <c r="M122" s="35" t="s">
        <v>158</v>
      </c>
    </row>
    <row r="123" spans="1:13" ht="26.4" x14ac:dyDescent="0.25">
      <c r="A123" s="34" t="s">
        <v>96</v>
      </c>
      <c r="B123" s="18">
        <v>29069024</v>
      </c>
      <c r="C123" s="37">
        <f t="shared" ref="C123:C126" si="0">226*22.38</f>
        <v>5057.88</v>
      </c>
      <c r="D123" s="36" t="s">
        <v>439</v>
      </c>
      <c r="E123" s="36" t="s">
        <v>163</v>
      </c>
      <c r="F123" s="36" t="s">
        <v>159</v>
      </c>
      <c r="G123" s="36" t="s">
        <v>163</v>
      </c>
      <c r="H123" s="36" t="s">
        <v>163</v>
      </c>
      <c r="I123" s="36" t="s">
        <v>163</v>
      </c>
      <c r="J123" s="35" t="s">
        <v>157</v>
      </c>
      <c r="K123" s="35" t="s">
        <v>143</v>
      </c>
      <c r="L123" t="s">
        <v>141</v>
      </c>
      <c r="M123" s="35" t="s">
        <v>158</v>
      </c>
    </row>
    <row r="124" spans="1:13" ht="26.4" x14ac:dyDescent="0.25">
      <c r="A124" s="34" t="s">
        <v>97</v>
      </c>
      <c r="B124" s="18">
        <v>18595248</v>
      </c>
      <c r="C124" s="37">
        <f t="shared" si="0"/>
        <v>5057.88</v>
      </c>
      <c r="D124" s="36" t="s">
        <v>439</v>
      </c>
      <c r="E124" s="36" t="s">
        <v>163</v>
      </c>
      <c r="F124" s="36" t="s">
        <v>159</v>
      </c>
      <c r="G124" s="36" t="s">
        <v>163</v>
      </c>
      <c r="H124" s="36" t="s">
        <v>163</v>
      </c>
      <c r="I124" s="36" t="s">
        <v>163</v>
      </c>
      <c r="J124" s="35" t="s">
        <v>157</v>
      </c>
      <c r="K124" s="35" t="s">
        <v>143</v>
      </c>
      <c r="L124" t="s">
        <v>141</v>
      </c>
      <c r="M124" s="35" t="s">
        <v>158</v>
      </c>
    </row>
    <row r="125" spans="1:13" ht="26.4" x14ac:dyDescent="0.25">
      <c r="A125" s="34" t="s">
        <v>433</v>
      </c>
      <c r="B125" s="18">
        <v>36986932</v>
      </c>
      <c r="C125" s="37">
        <f t="shared" si="0"/>
        <v>5057.88</v>
      </c>
      <c r="D125" s="36" t="s">
        <v>439</v>
      </c>
      <c r="E125" s="44" t="s">
        <v>357</v>
      </c>
      <c r="F125" s="36" t="s">
        <v>159</v>
      </c>
      <c r="G125" s="36" t="s">
        <v>163</v>
      </c>
      <c r="H125" s="36" t="s">
        <v>163</v>
      </c>
      <c r="I125" s="36" t="s">
        <v>163</v>
      </c>
      <c r="J125" s="35" t="s">
        <v>157</v>
      </c>
      <c r="K125" s="35" t="s">
        <v>143</v>
      </c>
      <c r="L125" t="s">
        <v>141</v>
      </c>
      <c r="M125" s="35" t="s">
        <v>158</v>
      </c>
    </row>
    <row r="126" spans="1:13" ht="26.4" x14ac:dyDescent="0.25">
      <c r="A126" s="34" t="s">
        <v>101</v>
      </c>
      <c r="B126" s="18">
        <v>24221323</v>
      </c>
      <c r="C126" s="37">
        <f t="shared" si="0"/>
        <v>5057.88</v>
      </c>
      <c r="D126" s="36" t="s">
        <v>439</v>
      </c>
      <c r="E126" s="36" t="s">
        <v>163</v>
      </c>
      <c r="F126" s="36" t="s">
        <v>159</v>
      </c>
      <c r="G126" s="36" t="s">
        <v>163</v>
      </c>
      <c r="H126" s="36" t="s">
        <v>163</v>
      </c>
      <c r="I126" s="36" t="s">
        <v>163</v>
      </c>
      <c r="J126" s="35" t="s">
        <v>157</v>
      </c>
      <c r="K126" s="35" t="s">
        <v>143</v>
      </c>
      <c r="L126" t="s">
        <v>141</v>
      </c>
      <c r="M126" s="35" t="s">
        <v>158</v>
      </c>
    </row>
    <row r="127" spans="1:13" ht="26.4" x14ac:dyDescent="0.25">
      <c r="A127" s="34" t="s">
        <v>135</v>
      </c>
      <c r="B127" s="18">
        <v>32888635</v>
      </c>
      <c r="C127" s="37">
        <f>27*22.38*6</f>
        <v>3625.56</v>
      </c>
      <c r="D127" s="36" t="s">
        <v>435</v>
      </c>
      <c r="E127" s="44" t="s">
        <v>357</v>
      </c>
      <c r="F127" s="36" t="s">
        <v>159</v>
      </c>
      <c r="G127" s="36" t="s">
        <v>163</v>
      </c>
      <c r="H127" s="36" t="s">
        <v>163</v>
      </c>
      <c r="I127" s="36" t="s">
        <v>163</v>
      </c>
      <c r="J127" s="35" t="s">
        <v>157</v>
      </c>
      <c r="K127" s="35" t="s">
        <v>143</v>
      </c>
      <c r="L127" t="s">
        <v>141</v>
      </c>
      <c r="M127" s="35" t="s">
        <v>158</v>
      </c>
    </row>
    <row r="128" spans="1:13" ht="26.4" x14ac:dyDescent="0.25">
      <c r="A128" s="34" t="s">
        <v>436</v>
      </c>
      <c r="B128" s="18">
        <v>16099622</v>
      </c>
      <c r="C128" s="37">
        <v>4500</v>
      </c>
      <c r="D128" s="36" t="s">
        <v>437</v>
      </c>
      <c r="E128" s="44" t="s">
        <v>357</v>
      </c>
      <c r="F128" s="36" t="s">
        <v>159</v>
      </c>
      <c r="G128" s="36" t="s">
        <v>163</v>
      </c>
      <c r="H128" s="36" t="s">
        <v>163</v>
      </c>
      <c r="I128" s="36" t="s">
        <v>163</v>
      </c>
      <c r="J128" s="35" t="s">
        <v>157</v>
      </c>
      <c r="K128" s="35" t="s">
        <v>143</v>
      </c>
      <c r="L128" t="s">
        <v>141</v>
      </c>
      <c r="M128" s="35" t="s">
        <v>158</v>
      </c>
    </row>
    <row r="129" spans="1:13" ht="26.4" x14ac:dyDescent="0.25">
      <c r="A129" s="34" t="s">
        <v>256</v>
      </c>
      <c r="B129" s="18">
        <v>8652547</v>
      </c>
      <c r="C129" s="37">
        <v>600</v>
      </c>
      <c r="D129" s="36" t="s">
        <v>440</v>
      </c>
      <c r="E129" s="36" t="s">
        <v>441</v>
      </c>
      <c r="F129" s="36" t="s">
        <v>159</v>
      </c>
      <c r="G129" s="36" t="s">
        <v>163</v>
      </c>
      <c r="H129" s="36" t="s">
        <v>163</v>
      </c>
      <c r="I129" s="36" t="s">
        <v>163</v>
      </c>
      <c r="J129" s="35" t="s">
        <v>157</v>
      </c>
      <c r="K129" s="35">
        <v>0</v>
      </c>
      <c r="L129" t="s">
        <v>258</v>
      </c>
      <c r="M129" s="35" t="s">
        <v>158</v>
      </c>
    </row>
    <row r="130" spans="1:13" ht="26.4" x14ac:dyDescent="0.25">
      <c r="A130" s="34" t="s">
        <v>442</v>
      </c>
      <c r="B130" s="18">
        <v>12334611</v>
      </c>
      <c r="C130" s="37">
        <v>2000</v>
      </c>
      <c r="D130" s="36" t="s">
        <v>443</v>
      </c>
      <c r="E130" s="36" t="s">
        <v>444</v>
      </c>
      <c r="F130" s="36" t="s">
        <v>159</v>
      </c>
      <c r="G130" s="36" t="s">
        <v>163</v>
      </c>
      <c r="H130" s="36" t="s">
        <v>163</v>
      </c>
      <c r="I130" s="36" t="s">
        <v>163</v>
      </c>
      <c r="J130" s="35" t="s">
        <v>445</v>
      </c>
      <c r="K130" s="35">
        <v>7811</v>
      </c>
      <c r="L130" s="35" t="s">
        <v>446</v>
      </c>
      <c r="M130" s="35" t="s">
        <v>158</v>
      </c>
    </row>
    <row r="131" spans="1:13" ht="26.4" x14ac:dyDescent="0.25">
      <c r="A131" s="34" t="s">
        <v>447</v>
      </c>
      <c r="B131" s="18">
        <v>22160335</v>
      </c>
      <c r="C131" s="37">
        <v>3500</v>
      </c>
      <c r="D131" s="36" t="s">
        <v>448</v>
      </c>
      <c r="E131" s="36" t="s">
        <v>444</v>
      </c>
      <c r="F131" s="36" t="s">
        <v>159</v>
      </c>
      <c r="G131" s="36" t="s">
        <v>163</v>
      </c>
      <c r="H131" s="36" t="s">
        <v>163</v>
      </c>
      <c r="I131" s="36" t="s">
        <v>163</v>
      </c>
      <c r="J131" s="35" t="s">
        <v>449</v>
      </c>
      <c r="K131" s="35">
        <v>79</v>
      </c>
      <c r="L131" s="35" t="s">
        <v>450</v>
      </c>
      <c r="M131" s="35" t="s">
        <v>158</v>
      </c>
    </row>
    <row r="132" spans="1:13" ht="26.4" x14ac:dyDescent="0.25">
      <c r="A132" s="34" t="s">
        <v>451</v>
      </c>
      <c r="B132" s="18">
        <v>12150418</v>
      </c>
      <c r="C132" s="37">
        <v>1000</v>
      </c>
      <c r="D132" s="36" t="s">
        <v>452</v>
      </c>
      <c r="E132" s="36" t="s">
        <v>444</v>
      </c>
      <c r="F132" s="36" t="s">
        <v>159</v>
      </c>
      <c r="G132" s="36" t="s">
        <v>163</v>
      </c>
      <c r="H132" s="36" t="s">
        <v>163</v>
      </c>
      <c r="I132" s="36" t="s">
        <v>163</v>
      </c>
      <c r="J132" s="35" t="s">
        <v>453</v>
      </c>
      <c r="K132" s="35">
        <v>43</v>
      </c>
      <c r="L132" s="35" t="s">
        <v>194</v>
      </c>
      <c r="M132" s="35" t="s">
        <v>158</v>
      </c>
    </row>
    <row r="133" spans="1:13" ht="26.4" x14ac:dyDescent="0.25">
      <c r="A133" s="34" t="s">
        <v>454</v>
      </c>
      <c r="B133" s="18">
        <v>20916081</v>
      </c>
      <c r="C133" s="37">
        <v>2200</v>
      </c>
      <c r="D133" s="36" t="s">
        <v>455</v>
      </c>
      <c r="E133" s="36" t="s">
        <v>444</v>
      </c>
      <c r="F133" s="36" t="s">
        <v>159</v>
      </c>
      <c r="G133" s="36" t="s">
        <v>163</v>
      </c>
      <c r="H133" s="36" t="s">
        <v>163</v>
      </c>
      <c r="I133" s="36" t="s">
        <v>163</v>
      </c>
      <c r="J133" s="35" t="s">
        <v>456</v>
      </c>
      <c r="K133" s="35">
        <v>93</v>
      </c>
      <c r="L133" s="35" t="s">
        <v>194</v>
      </c>
      <c r="M133" s="35" t="s">
        <v>158</v>
      </c>
    </row>
    <row r="134" spans="1:13" ht="26.4" x14ac:dyDescent="0.25">
      <c r="A134" s="34" t="s">
        <v>457</v>
      </c>
      <c r="B134" s="18">
        <v>28837059</v>
      </c>
      <c r="C134" s="37">
        <v>2000</v>
      </c>
      <c r="D134" s="36" t="s">
        <v>458</v>
      </c>
      <c r="E134" s="36" t="s">
        <v>444</v>
      </c>
      <c r="F134" s="36" t="s">
        <v>159</v>
      </c>
      <c r="G134" s="36" t="s">
        <v>163</v>
      </c>
      <c r="H134" s="36" t="s">
        <v>163</v>
      </c>
      <c r="I134" s="36" t="s">
        <v>163</v>
      </c>
      <c r="J134" s="35" t="s">
        <v>459</v>
      </c>
      <c r="K134" s="35">
        <v>92</v>
      </c>
      <c r="L134" s="35" t="s">
        <v>194</v>
      </c>
      <c r="M134" s="35" t="s">
        <v>158</v>
      </c>
    </row>
    <row r="135" spans="1:13" ht="26.4" x14ac:dyDescent="0.25">
      <c r="A135" s="34" t="s">
        <v>460</v>
      </c>
      <c r="B135" s="18">
        <v>12341528</v>
      </c>
      <c r="C135" s="37">
        <v>1500</v>
      </c>
      <c r="D135" s="36" t="s">
        <v>461</v>
      </c>
      <c r="E135" s="36" t="s">
        <v>444</v>
      </c>
      <c r="F135" s="36" t="s">
        <v>159</v>
      </c>
      <c r="G135" s="36" t="s">
        <v>163</v>
      </c>
      <c r="H135" s="36" t="s">
        <v>163</v>
      </c>
      <c r="I135" s="36" t="s">
        <v>163</v>
      </c>
      <c r="J135" s="35" t="s">
        <v>462</v>
      </c>
      <c r="K135" s="35" t="s">
        <v>285</v>
      </c>
      <c r="L135" s="35" t="s">
        <v>204</v>
      </c>
      <c r="M135" s="35" t="s">
        <v>158</v>
      </c>
    </row>
    <row r="136" spans="1:13" ht="26.4" x14ac:dyDescent="0.25">
      <c r="A136" s="34" t="s">
        <v>410</v>
      </c>
      <c r="B136" s="18">
        <v>25850841</v>
      </c>
      <c r="C136" s="37">
        <v>1200</v>
      </c>
      <c r="D136" s="36" t="s">
        <v>463</v>
      </c>
      <c r="E136" s="44" t="s">
        <v>332</v>
      </c>
      <c r="F136" s="36" t="s">
        <v>159</v>
      </c>
      <c r="G136" s="36" t="s">
        <v>163</v>
      </c>
      <c r="H136" s="36" t="s">
        <v>163</v>
      </c>
      <c r="I136" s="36" t="s">
        <v>163</v>
      </c>
      <c r="J136" s="35" t="s">
        <v>412</v>
      </c>
      <c r="K136" s="35">
        <v>148</v>
      </c>
      <c r="L136" s="35" t="s">
        <v>378</v>
      </c>
      <c r="M136" s="35" t="s">
        <v>313</v>
      </c>
    </row>
    <row r="137" spans="1:13" ht="26.4" x14ac:dyDescent="0.25">
      <c r="A137" s="34" t="s">
        <v>464</v>
      </c>
      <c r="B137" s="18">
        <v>10870808</v>
      </c>
      <c r="C137" s="37">
        <v>20000</v>
      </c>
      <c r="D137" s="36" t="s">
        <v>466</v>
      </c>
      <c r="E137" s="44" t="s">
        <v>465</v>
      </c>
      <c r="F137" s="36" t="s">
        <v>159</v>
      </c>
      <c r="G137" s="36" t="s">
        <v>163</v>
      </c>
      <c r="H137" s="36" t="s">
        <v>163</v>
      </c>
      <c r="I137" s="36" t="s">
        <v>163</v>
      </c>
      <c r="J137" s="35" t="s">
        <v>467</v>
      </c>
      <c r="K137" s="35">
        <v>41</v>
      </c>
      <c r="L137" s="35" t="s">
        <v>194</v>
      </c>
      <c r="M137" s="35" t="s">
        <v>313</v>
      </c>
    </row>
    <row r="138" spans="1:13" ht="26.4" x14ac:dyDescent="0.25">
      <c r="A138" s="34" t="s">
        <v>468</v>
      </c>
      <c r="B138" s="18">
        <v>13984673</v>
      </c>
      <c r="C138" s="37">
        <v>1000</v>
      </c>
      <c r="D138" s="36" t="s">
        <v>469</v>
      </c>
      <c r="E138" s="44" t="s">
        <v>470</v>
      </c>
      <c r="F138" s="36" t="s">
        <v>159</v>
      </c>
      <c r="G138" s="36" t="s">
        <v>163</v>
      </c>
      <c r="H138" s="36" t="s">
        <v>163</v>
      </c>
      <c r="I138" s="36" t="s">
        <v>163</v>
      </c>
      <c r="J138" s="35" t="s">
        <v>471</v>
      </c>
      <c r="K138" s="35">
        <v>1743</v>
      </c>
      <c r="L138" s="35" t="s">
        <v>269</v>
      </c>
      <c r="M138" s="35" t="s">
        <v>313</v>
      </c>
    </row>
    <row r="139" spans="1:13" ht="26.4" x14ac:dyDescent="0.25">
      <c r="A139" s="34" t="s">
        <v>224</v>
      </c>
      <c r="B139" s="18">
        <v>6699842</v>
      </c>
      <c r="C139" s="37">
        <v>12000</v>
      </c>
      <c r="D139" s="36" t="s">
        <v>469</v>
      </c>
      <c r="E139" s="44" t="s">
        <v>470</v>
      </c>
      <c r="F139" s="36" t="s">
        <v>159</v>
      </c>
      <c r="G139" s="36" t="s">
        <v>163</v>
      </c>
      <c r="H139" s="36" t="s">
        <v>163</v>
      </c>
      <c r="I139" s="36" t="s">
        <v>163</v>
      </c>
      <c r="J139" s="35" t="s">
        <v>227</v>
      </c>
      <c r="K139" s="35">
        <v>130</v>
      </c>
      <c r="L139" t="s">
        <v>194</v>
      </c>
      <c r="M139" s="35" t="s">
        <v>158</v>
      </c>
    </row>
    <row r="140" spans="1:13" ht="26.4" x14ac:dyDescent="0.25">
      <c r="A140" s="34" t="s">
        <v>472</v>
      </c>
      <c r="B140" s="18">
        <v>14974136</v>
      </c>
      <c r="C140" s="37">
        <v>3000</v>
      </c>
      <c r="D140" s="36" t="s">
        <v>473</v>
      </c>
      <c r="E140" s="36" t="s">
        <v>159</v>
      </c>
      <c r="F140" s="36" t="s">
        <v>159</v>
      </c>
      <c r="G140" s="36" t="s">
        <v>163</v>
      </c>
      <c r="H140" s="36" t="s">
        <v>163</v>
      </c>
      <c r="I140" s="36" t="s">
        <v>163</v>
      </c>
      <c r="J140" s="35" t="s">
        <v>474</v>
      </c>
      <c r="K140" s="35">
        <v>0</v>
      </c>
      <c r="L140" t="s">
        <v>419</v>
      </c>
      <c r="M140" s="35" t="s">
        <v>158</v>
      </c>
    </row>
    <row r="141" spans="1:13" ht="26.4" x14ac:dyDescent="0.25">
      <c r="A141" s="41" t="s">
        <v>365</v>
      </c>
      <c r="B141" s="42">
        <v>29860938</v>
      </c>
      <c r="C141" s="46">
        <v>54000</v>
      </c>
      <c r="D141" s="36" t="s">
        <v>475</v>
      </c>
      <c r="E141" s="44" t="s">
        <v>470</v>
      </c>
      <c r="F141" s="36" t="s">
        <v>163</v>
      </c>
      <c r="G141" s="36" t="s">
        <v>163</v>
      </c>
      <c r="H141" s="36" t="s">
        <v>163</v>
      </c>
      <c r="I141" s="36" t="s">
        <v>163</v>
      </c>
      <c r="J141" s="43" t="s">
        <v>368</v>
      </c>
      <c r="K141">
        <v>823</v>
      </c>
      <c r="L141" s="43" t="s">
        <v>194</v>
      </c>
      <c r="M141" s="43" t="s">
        <v>158</v>
      </c>
    </row>
    <row r="142" spans="1:13" ht="26.4" x14ac:dyDescent="0.25">
      <c r="A142" s="41" t="s">
        <v>477</v>
      </c>
      <c r="B142" s="42">
        <v>13484179</v>
      </c>
      <c r="C142" s="46">
        <v>35000</v>
      </c>
      <c r="D142" s="36" t="s">
        <v>476</v>
      </c>
      <c r="E142" s="44" t="s">
        <v>470</v>
      </c>
      <c r="F142" s="36" t="s">
        <v>163</v>
      </c>
      <c r="G142" s="36" t="s">
        <v>163</v>
      </c>
      <c r="H142" s="36" t="s">
        <v>163</v>
      </c>
      <c r="I142" s="36" t="s">
        <v>163</v>
      </c>
      <c r="J142" s="43" t="s">
        <v>208</v>
      </c>
      <c r="K142">
        <v>136</v>
      </c>
      <c r="L142" s="43" t="s">
        <v>194</v>
      </c>
      <c r="M142" s="43" t="s">
        <v>158</v>
      </c>
    </row>
    <row r="143" spans="1:13" ht="26.4" x14ac:dyDescent="0.25">
      <c r="A143" s="34" t="s">
        <v>299</v>
      </c>
      <c r="B143" s="18">
        <v>22140284</v>
      </c>
      <c r="C143" s="37">
        <v>4000</v>
      </c>
      <c r="D143" s="36" t="s">
        <v>478</v>
      </c>
      <c r="E143" s="36" t="s">
        <v>479</v>
      </c>
      <c r="F143" s="36" t="s">
        <v>295</v>
      </c>
      <c r="G143" s="36" t="s">
        <v>163</v>
      </c>
      <c r="H143" s="36" t="s">
        <v>163</v>
      </c>
      <c r="I143" s="36" t="s">
        <v>163</v>
      </c>
      <c r="J143" s="35" t="s">
        <v>301</v>
      </c>
      <c r="K143" s="35">
        <v>1445</v>
      </c>
      <c r="L143" s="35" t="s">
        <v>204</v>
      </c>
      <c r="M143" s="35" t="s">
        <v>204</v>
      </c>
    </row>
    <row r="144" spans="1:13" ht="26.4" x14ac:dyDescent="0.25">
      <c r="A144" s="34" t="s">
        <v>302</v>
      </c>
      <c r="B144" s="18">
        <v>22035018</v>
      </c>
      <c r="C144" s="37">
        <v>5800</v>
      </c>
      <c r="D144" s="36" t="s">
        <v>480</v>
      </c>
      <c r="E144" s="36" t="s">
        <v>481</v>
      </c>
      <c r="F144" s="36" t="s">
        <v>295</v>
      </c>
      <c r="G144" s="36" t="s">
        <v>163</v>
      </c>
      <c r="H144" s="36" t="s">
        <v>163</v>
      </c>
      <c r="I144" s="36" t="s">
        <v>163</v>
      </c>
      <c r="J144" s="35" t="s">
        <v>304</v>
      </c>
      <c r="K144" s="35">
        <v>251</v>
      </c>
      <c r="L144" s="35" t="s">
        <v>269</v>
      </c>
      <c r="M144" s="35" t="s">
        <v>158</v>
      </c>
    </row>
    <row r="145" spans="1:14" ht="26.4" x14ac:dyDescent="0.25">
      <c r="A145" s="34" t="s">
        <v>482</v>
      </c>
      <c r="B145" s="18">
        <v>23567335</v>
      </c>
      <c r="C145" s="37">
        <v>29650</v>
      </c>
      <c r="D145" s="36" t="s">
        <v>483</v>
      </c>
      <c r="E145" s="36" t="s">
        <v>484</v>
      </c>
      <c r="F145" s="36" t="s">
        <v>295</v>
      </c>
      <c r="G145" s="36" t="s">
        <v>163</v>
      </c>
      <c r="H145" s="36" t="s">
        <v>163</v>
      </c>
      <c r="I145" s="36" t="s">
        <v>163</v>
      </c>
      <c r="J145" s="35" t="s">
        <v>485</v>
      </c>
      <c r="K145" s="35">
        <v>871</v>
      </c>
      <c r="L145" s="35" t="s">
        <v>486</v>
      </c>
      <c r="M145" s="35" t="s">
        <v>487</v>
      </c>
    </row>
    <row r="146" spans="1:14" ht="26.4" x14ac:dyDescent="0.25">
      <c r="A146" s="34" t="s">
        <v>488</v>
      </c>
      <c r="B146" s="18">
        <v>30552188</v>
      </c>
      <c r="C146" s="37">
        <v>4000</v>
      </c>
      <c r="D146" s="36" t="s">
        <v>489</v>
      </c>
      <c r="E146" s="36" t="s">
        <v>484</v>
      </c>
      <c r="F146" s="36" t="s">
        <v>295</v>
      </c>
      <c r="G146" s="36" t="s">
        <v>163</v>
      </c>
      <c r="H146" s="36" t="s">
        <v>163</v>
      </c>
      <c r="I146" s="36" t="s">
        <v>163</v>
      </c>
      <c r="J146" s="35" t="s">
        <v>490</v>
      </c>
      <c r="K146" s="35">
        <v>256</v>
      </c>
      <c r="L146" s="35" t="s">
        <v>491</v>
      </c>
      <c r="M146" s="35" t="s">
        <v>313</v>
      </c>
    </row>
    <row r="147" spans="1:14" ht="26.4" x14ac:dyDescent="0.25">
      <c r="A147" s="34" t="s">
        <v>314</v>
      </c>
      <c r="B147" s="18">
        <v>24991253</v>
      </c>
      <c r="C147" s="37">
        <v>2500</v>
      </c>
      <c r="D147" s="36" t="s">
        <v>492</v>
      </c>
      <c r="E147" s="36" t="s">
        <v>484</v>
      </c>
      <c r="F147" s="36" t="s">
        <v>295</v>
      </c>
      <c r="G147" s="36" t="s">
        <v>163</v>
      </c>
      <c r="H147" s="36" t="s">
        <v>163</v>
      </c>
      <c r="I147" s="36" t="s">
        <v>163</v>
      </c>
      <c r="J147" s="35" t="s">
        <v>316</v>
      </c>
      <c r="K147" s="35">
        <v>1351</v>
      </c>
      <c r="L147" s="35" t="s">
        <v>269</v>
      </c>
      <c r="M147" s="35" t="s">
        <v>313</v>
      </c>
    </row>
    <row r="148" spans="1:14" ht="26.4" x14ac:dyDescent="0.25">
      <c r="A148" s="34" t="s">
        <v>493</v>
      </c>
      <c r="B148" s="18">
        <v>22747336</v>
      </c>
      <c r="C148" s="37">
        <v>3000</v>
      </c>
      <c r="D148" s="36" t="s">
        <v>494</v>
      </c>
      <c r="E148" s="36" t="s">
        <v>484</v>
      </c>
      <c r="F148" s="36" t="s">
        <v>295</v>
      </c>
      <c r="G148" s="36" t="s">
        <v>163</v>
      </c>
      <c r="H148" s="36" t="s">
        <v>163</v>
      </c>
      <c r="I148" s="36" t="s">
        <v>163</v>
      </c>
      <c r="J148" s="35" t="s">
        <v>495</v>
      </c>
      <c r="K148" s="35">
        <v>719</v>
      </c>
      <c r="L148" s="35" t="s">
        <v>496</v>
      </c>
      <c r="M148" s="35" t="s">
        <v>313</v>
      </c>
    </row>
    <row r="149" spans="1:14" ht="26.4" x14ac:dyDescent="0.25">
      <c r="A149" s="41" t="s">
        <v>497</v>
      </c>
      <c r="B149" s="42">
        <v>38338457</v>
      </c>
      <c r="C149" s="46">
        <f>7*29.85</f>
        <v>208.95000000000002</v>
      </c>
      <c r="D149" s="36" t="s">
        <v>498</v>
      </c>
      <c r="E149" s="36" t="s">
        <v>159</v>
      </c>
      <c r="F149" s="36" t="s">
        <v>159</v>
      </c>
      <c r="G149" s="36" t="s">
        <v>163</v>
      </c>
      <c r="H149" s="36" t="s">
        <v>163</v>
      </c>
      <c r="I149" s="36" t="s">
        <v>163</v>
      </c>
      <c r="J149" s="43" t="s">
        <v>418</v>
      </c>
      <c r="K149" s="43" t="s">
        <v>143</v>
      </c>
      <c r="L149" s="43" t="s">
        <v>141</v>
      </c>
      <c r="M149" s="43" t="s">
        <v>313</v>
      </c>
    </row>
    <row r="150" spans="1:14" ht="26.4" x14ac:dyDescent="0.25">
      <c r="A150" s="41" t="s">
        <v>499</v>
      </c>
      <c r="B150" s="42">
        <v>38161679</v>
      </c>
      <c r="C150" s="46">
        <f>17*29.85</f>
        <v>507.45000000000005</v>
      </c>
      <c r="D150" s="36" t="s">
        <v>501</v>
      </c>
      <c r="E150" s="36" t="s">
        <v>500</v>
      </c>
      <c r="F150" s="36" t="s">
        <v>159</v>
      </c>
      <c r="G150" s="36" t="s">
        <v>163</v>
      </c>
      <c r="H150" s="36" t="s">
        <v>163</v>
      </c>
      <c r="I150" s="36" t="s">
        <v>163</v>
      </c>
      <c r="J150" s="43" t="s">
        <v>418</v>
      </c>
      <c r="K150" s="43" t="s">
        <v>143</v>
      </c>
      <c r="L150" s="43" t="s">
        <v>141</v>
      </c>
      <c r="M150" s="43" t="s">
        <v>313</v>
      </c>
    </row>
    <row r="151" spans="1:14" ht="25.95" customHeight="1" x14ac:dyDescent="0.25">
      <c r="A151" s="41" t="s">
        <v>502</v>
      </c>
      <c r="B151" s="42">
        <v>11199679</v>
      </c>
      <c r="C151" s="46">
        <v>2820</v>
      </c>
      <c r="D151" s="36" t="s">
        <v>980</v>
      </c>
      <c r="E151" s="36" t="e">
        <f>------------------------------------------------------------------------------------------------------------------------F151</f>
        <v>#VALUE!</v>
      </c>
      <c r="F151" s="36" t="s">
        <v>159</v>
      </c>
      <c r="G151" s="36" t="s">
        <v>163</v>
      </c>
      <c r="H151" s="36" t="s">
        <v>163</v>
      </c>
      <c r="I151" s="36" t="s">
        <v>163</v>
      </c>
      <c r="J151" s="43" t="s">
        <v>418</v>
      </c>
      <c r="K151" s="43" t="s">
        <v>143</v>
      </c>
      <c r="L151" s="43" t="s">
        <v>141</v>
      </c>
      <c r="M151" s="43" t="s">
        <v>313</v>
      </c>
    </row>
    <row r="152" spans="1:14" ht="26.4" x14ac:dyDescent="0.25">
      <c r="A152" s="41" t="s">
        <v>173</v>
      </c>
      <c r="B152" s="42">
        <v>12369125</v>
      </c>
      <c r="C152" s="46">
        <f>22*22</f>
        <v>484</v>
      </c>
      <c r="D152" s="36" t="s">
        <v>503</v>
      </c>
      <c r="E152" s="36" t="s">
        <v>159</v>
      </c>
      <c r="F152" s="36" t="s">
        <v>159</v>
      </c>
      <c r="G152" s="36" t="s">
        <v>163</v>
      </c>
      <c r="H152" s="36" t="s">
        <v>163</v>
      </c>
      <c r="I152" s="36" t="s">
        <v>163</v>
      </c>
      <c r="J152" s="43" t="s">
        <v>418</v>
      </c>
      <c r="K152" s="43" t="s">
        <v>143</v>
      </c>
      <c r="L152" s="43" t="s">
        <v>141</v>
      </c>
      <c r="M152" s="43" t="s">
        <v>313</v>
      </c>
    </row>
    <row r="153" spans="1:14" ht="26.4" x14ac:dyDescent="0.25">
      <c r="A153" s="34" t="s">
        <v>504</v>
      </c>
      <c r="B153" s="18">
        <v>35231596</v>
      </c>
      <c r="C153" s="37">
        <v>500</v>
      </c>
      <c r="D153" s="36" t="s">
        <v>505</v>
      </c>
      <c r="E153" s="36" t="s">
        <v>484</v>
      </c>
      <c r="F153" s="36" t="s">
        <v>295</v>
      </c>
      <c r="G153" s="36" t="s">
        <v>163</v>
      </c>
      <c r="H153" s="36" t="s">
        <v>163</v>
      </c>
      <c r="I153" s="36" t="s">
        <v>163</v>
      </c>
      <c r="J153" s="35" t="s">
        <v>506</v>
      </c>
      <c r="K153" s="35">
        <v>33</v>
      </c>
      <c r="L153" s="35" t="s">
        <v>194</v>
      </c>
      <c r="M153" s="35" t="s">
        <v>313</v>
      </c>
    </row>
    <row r="154" spans="1:14" ht="26.4" x14ac:dyDescent="0.25">
      <c r="A154" s="34" t="s">
        <v>507</v>
      </c>
      <c r="B154" s="18">
        <v>38279276</v>
      </c>
      <c r="C154" s="37">
        <v>500</v>
      </c>
      <c r="D154" s="36" t="s">
        <v>508</v>
      </c>
      <c r="E154" s="36" t="s">
        <v>484</v>
      </c>
      <c r="F154" s="36" t="s">
        <v>295</v>
      </c>
      <c r="G154" s="36" t="s">
        <v>163</v>
      </c>
      <c r="H154" s="36" t="s">
        <v>163</v>
      </c>
      <c r="I154" s="36" t="s">
        <v>163</v>
      </c>
      <c r="J154" s="35" t="s">
        <v>418</v>
      </c>
      <c r="K154" s="35" t="s">
        <v>143</v>
      </c>
      <c r="L154" s="35" t="s">
        <v>194</v>
      </c>
      <c r="M154" s="35" t="s">
        <v>313</v>
      </c>
    </row>
    <row r="155" spans="1:14" ht="26.4" x14ac:dyDescent="0.25">
      <c r="A155" s="34" t="s">
        <v>509</v>
      </c>
      <c r="B155" s="18">
        <v>17287628</v>
      </c>
      <c r="C155" s="37">
        <v>1000</v>
      </c>
      <c r="D155" s="36" t="s">
        <v>511</v>
      </c>
      <c r="E155" s="36" t="s">
        <v>510</v>
      </c>
      <c r="F155" s="36" t="s">
        <v>295</v>
      </c>
      <c r="G155" s="36" t="s">
        <v>163</v>
      </c>
      <c r="H155" s="36" t="s">
        <v>163</v>
      </c>
      <c r="I155" s="36" t="s">
        <v>163</v>
      </c>
      <c r="J155" s="35" t="s">
        <v>418</v>
      </c>
      <c r="K155" s="35" t="s">
        <v>143</v>
      </c>
      <c r="L155" s="35" t="s">
        <v>258</v>
      </c>
      <c r="M155" s="35" t="s">
        <v>313</v>
      </c>
    </row>
    <row r="156" spans="1:14" ht="26.4" x14ac:dyDescent="0.25">
      <c r="A156" s="34" t="s">
        <v>512</v>
      </c>
      <c r="B156" s="18">
        <v>11908610</v>
      </c>
      <c r="C156" s="37">
        <v>1800</v>
      </c>
      <c r="D156" s="36" t="s">
        <v>416</v>
      </c>
      <c r="E156" s="36" t="s">
        <v>513</v>
      </c>
      <c r="F156" s="36" t="s">
        <v>159</v>
      </c>
      <c r="G156" s="36" t="s">
        <v>163</v>
      </c>
      <c r="H156" s="36" t="s">
        <v>163</v>
      </c>
      <c r="I156" s="36" t="s">
        <v>163</v>
      </c>
      <c r="J156" s="35" t="s">
        <v>418</v>
      </c>
      <c r="K156" s="35" t="s">
        <v>143</v>
      </c>
      <c r="L156" s="35" t="s">
        <v>419</v>
      </c>
      <c r="M156" s="35" t="s">
        <v>313</v>
      </c>
    </row>
    <row r="157" spans="1:14" ht="26.4" x14ac:dyDescent="0.25">
      <c r="A157" s="34" t="s">
        <v>514</v>
      </c>
      <c r="B157" s="18">
        <v>28656461</v>
      </c>
      <c r="C157" s="37">
        <v>2000</v>
      </c>
      <c r="D157" s="36" t="s">
        <v>516</v>
      </c>
      <c r="E157" s="36" t="s">
        <v>515</v>
      </c>
      <c r="F157" s="36" t="s">
        <v>159</v>
      </c>
      <c r="G157" s="36" t="s">
        <v>163</v>
      </c>
      <c r="H157" s="36" t="s">
        <v>163</v>
      </c>
      <c r="I157" s="36" t="s">
        <v>163</v>
      </c>
      <c r="J157" s="35" t="s">
        <v>517</v>
      </c>
      <c r="K157" s="35">
        <v>383</v>
      </c>
      <c r="L157" s="35" t="s">
        <v>194</v>
      </c>
      <c r="M157" s="35" t="s">
        <v>313</v>
      </c>
    </row>
    <row r="158" spans="1:14" ht="26.4" x14ac:dyDescent="0.25">
      <c r="A158" s="34" t="s">
        <v>100</v>
      </c>
      <c r="B158" s="18">
        <v>24939938</v>
      </c>
      <c r="C158" s="37">
        <f>25*28</f>
        <v>700</v>
      </c>
      <c r="D158" s="36" t="s">
        <v>531</v>
      </c>
      <c r="E158" s="36" t="s">
        <v>533</v>
      </c>
      <c r="F158" s="36" t="s">
        <v>532</v>
      </c>
      <c r="G158" s="36" t="s">
        <v>163</v>
      </c>
      <c r="H158" s="36" t="s">
        <v>163</v>
      </c>
      <c r="I158" s="36" t="s">
        <v>163</v>
      </c>
      <c r="J158" s="35" t="s">
        <v>358</v>
      </c>
      <c r="K158" s="35" t="s">
        <v>143</v>
      </c>
      <c r="L158" t="s">
        <v>141</v>
      </c>
      <c r="M158" s="35" t="s">
        <v>158</v>
      </c>
      <c r="N158">
        <v>5</v>
      </c>
    </row>
    <row r="159" spans="1:14" ht="26.4" x14ac:dyDescent="0.25">
      <c r="A159" s="41" t="s">
        <v>535</v>
      </c>
      <c r="B159" s="42">
        <v>36917675</v>
      </c>
      <c r="C159" s="46">
        <v>1400</v>
      </c>
      <c r="D159" s="36" t="s">
        <v>537</v>
      </c>
      <c r="E159" s="36" t="s">
        <v>538</v>
      </c>
      <c r="F159" s="44" t="s">
        <v>536</v>
      </c>
      <c r="G159" s="36" t="s">
        <v>163</v>
      </c>
      <c r="H159" s="36" t="s">
        <v>163</v>
      </c>
      <c r="I159" s="36" t="s">
        <v>163</v>
      </c>
      <c r="J159" s="35" t="s">
        <v>232</v>
      </c>
      <c r="K159">
        <v>428</v>
      </c>
      <c r="L159" t="s">
        <v>141</v>
      </c>
      <c r="M159" s="35" t="s">
        <v>414</v>
      </c>
      <c r="N159">
        <v>5</v>
      </c>
    </row>
    <row r="160" spans="1:14" ht="26.4" x14ac:dyDescent="0.25">
      <c r="A160" s="41" t="s">
        <v>539</v>
      </c>
      <c r="B160" s="42">
        <v>18595248</v>
      </c>
      <c r="C160" s="46">
        <v>1400</v>
      </c>
      <c r="D160" s="36" t="s">
        <v>537</v>
      </c>
      <c r="E160" s="36" t="s">
        <v>538</v>
      </c>
      <c r="F160" s="44" t="s">
        <v>536</v>
      </c>
      <c r="G160" s="36" t="s">
        <v>163</v>
      </c>
      <c r="H160" s="36" t="s">
        <v>163</v>
      </c>
      <c r="I160" s="36" t="s">
        <v>163</v>
      </c>
      <c r="J160" s="35" t="s">
        <v>540</v>
      </c>
      <c r="K160" t="s">
        <v>143</v>
      </c>
      <c r="L160" t="s">
        <v>141</v>
      </c>
      <c r="M160" s="35" t="s">
        <v>414</v>
      </c>
      <c r="N160">
        <v>5</v>
      </c>
    </row>
    <row r="161" spans="1:15" ht="26.4" x14ac:dyDescent="0.25">
      <c r="A161" s="41" t="s">
        <v>541</v>
      </c>
      <c r="B161" s="42">
        <v>24221323</v>
      </c>
      <c r="C161" s="46">
        <v>1400</v>
      </c>
      <c r="D161" s="36" t="s">
        <v>537</v>
      </c>
      <c r="E161" s="36" t="s">
        <v>538</v>
      </c>
      <c r="F161" s="44" t="s">
        <v>536</v>
      </c>
      <c r="G161" s="36" t="s">
        <v>163</v>
      </c>
      <c r="H161" s="36" t="s">
        <v>163</v>
      </c>
      <c r="I161" s="36" t="s">
        <v>163</v>
      </c>
      <c r="J161" s="35" t="s">
        <v>542</v>
      </c>
      <c r="K161">
        <v>420</v>
      </c>
      <c r="L161" t="s">
        <v>141</v>
      </c>
      <c r="M161" s="35" t="s">
        <v>414</v>
      </c>
      <c r="N161">
        <v>5</v>
      </c>
    </row>
    <row r="162" spans="1:15" ht="26.4" x14ac:dyDescent="0.25">
      <c r="A162" s="41" t="s">
        <v>543</v>
      </c>
      <c r="B162" s="42">
        <v>20888915</v>
      </c>
      <c r="C162" s="46">
        <f>25*21</f>
        <v>525</v>
      </c>
      <c r="D162" s="36" t="s">
        <v>544</v>
      </c>
      <c r="E162" s="36" t="s">
        <v>538</v>
      </c>
      <c r="F162" s="44" t="s">
        <v>536</v>
      </c>
      <c r="G162" s="36" t="s">
        <v>163</v>
      </c>
      <c r="H162" s="36" t="s">
        <v>163</v>
      </c>
      <c r="I162" s="36" t="s">
        <v>163</v>
      </c>
      <c r="J162" s="35" t="s">
        <v>545</v>
      </c>
      <c r="K162" t="s">
        <v>143</v>
      </c>
      <c r="L162" t="s">
        <v>141</v>
      </c>
      <c r="M162" s="35" t="s">
        <v>414</v>
      </c>
      <c r="N162">
        <v>5</v>
      </c>
    </row>
    <row r="163" spans="1:15" ht="26.4" x14ac:dyDescent="0.25">
      <c r="A163" s="41" t="s">
        <v>547</v>
      </c>
      <c r="B163" s="42">
        <v>16909166</v>
      </c>
      <c r="C163" s="46">
        <v>1400</v>
      </c>
      <c r="D163" s="36" t="s">
        <v>537</v>
      </c>
      <c r="E163" s="36" t="s">
        <v>538</v>
      </c>
      <c r="F163" s="44" t="s">
        <v>536</v>
      </c>
      <c r="G163" s="36" t="s">
        <v>163</v>
      </c>
      <c r="H163" s="36" t="s">
        <v>163</v>
      </c>
      <c r="I163" s="36" t="s">
        <v>163</v>
      </c>
      <c r="J163" s="35" t="s">
        <v>546</v>
      </c>
      <c r="K163" t="s">
        <v>143</v>
      </c>
      <c r="L163" t="s">
        <v>141</v>
      </c>
      <c r="M163" s="35" t="s">
        <v>414</v>
      </c>
      <c r="N163">
        <v>5</v>
      </c>
    </row>
    <row r="164" spans="1:15" ht="26.4" x14ac:dyDescent="0.25">
      <c r="A164" s="41" t="s">
        <v>102</v>
      </c>
      <c r="B164" s="42">
        <v>36986968</v>
      </c>
      <c r="C164" s="46">
        <f>28*25</f>
        <v>700</v>
      </c>
      <c r="D164" s="36" t="s">
        <v>548</v>
      </c>
      <c r="E164" s="36" t="s">
        <v>538</v>
      </c>
      <c r="F164" s="44" t="s">
        <v>536</v>
      </c>
      <c r="G164" s="36" t="s">
        <v>163</v>
      </c>
      <c r="H164" s="36" t="s">
        <v>163</v>
      </c>
      <c r="I164" s="36" t="s">
        <v>163</v>
      </c>
      <c r="J164" s="35" t="s">
        <v>549</v>
      </c>
      <c r="K164" t="s">
        <v>143</v>
      </c>
      <c r="L164" t="s">
        <v>550</v>
      </c>
      <c r="M164" s="35" t="s">
        <v>414</v>
      </c>
      <c r="N164">
        <v>5</v>
      </c>
    </row>
    <row r="165" spans="1:15" ht="26.4" x14ac:dyDescent="0.25">
      <c r="A165" s="41" t="s">
        <v>551</v>
      </c>
      <c r="B165" s="42">
        <v>20082419</v>
      </c>
      <c r="C165" s="46">
        <v>29800</v>
      </c>
      <c r="D165" s="36" t="s">
        <v>554</v>
      </c>
      <c r="E165" s="36" t="s">
        <v>555</v>
      </c>
      <c r="F165" s="44" t="s">
        <v>553</v>
      </c>
      <c r="G165" s="36" t="s">
        <v>163</v>
      </c>
      <c r="H165" s="36" t="s">
        <v>163</v>
      </c>
      <c r="I165" s="36" t="s">
        <v>163</v>
      </c>
      <c r="J165" s="35" t="s">
        <v>552</v>
      </c>
      <c r="K165" t="s">
        <v>143</v>
      </c>
      <c r="L165" t="s">
        <v>141</v>
      </c>
      <c r="M165" s="35" t="s">
        <v>414</v>
      </c>
      <c r="N165">
        <v>30</v>
      </c>
    </row>
    <row r="166" spans="1:15" ht="26.4" x14ac:dyDescent="0.25">
      <c r="A166" s="41" t="s">
        <v>547</v>
      </c>
      <c r="B166" s="42">
        <v>16909166</v>
      </c>
      <c r="C166" s="46">
        <f>57*25</f>
        <v>1425</v>
      </c>
      <c r="D166" s="36" t="s">
        <v>556</v>
      </c>
      <c r="E166" s="36" t="s">
        <v>538</v>
      </c>
      <c r="F166" s="44" t="s">
        <v>536</v>
      </c>
      <c r="G166" s="36" t="s">
        <v>163</v>
      </c>
      <c r="H166" s="36" t="s">
        <v>163</v>
      </c>
      <c r="I166" s="36" t="s">
        <v>163</v>
      </c>
      <c r="J166" s="35" t="s">
        <v>546</v>
      </c>
      <c r="K166" t="s">
        <v>143</v>
      </c>
      <c r="L166" t="s">
        <v>141</v>
      </c>
      <c r="M166" s="35" t="s">
        <v>414</v>
      </c>
      <c r="N166">
        <v>8</v>
      </c>
    </row>
    <row r="167" spans="1:15" ht="26.4" x14ac:dyDescent="0.25">
      <c r="A167" s="41" t="s">
        <v>102</v>
      </c>
      <c r="B167" s="42">
        <v>36986968</v>
      </c>
      <c r="C167" s="46">
        <f>42*25</f>
        <v>1050</v>
      </c>
      <c r="D167" s="36" t="s">
        <v>557</v>
      </c>
      <c r="E167" s="36" t="s">
        <v>538</v>
      </c>
      <c r="F167" s="44" t="s">
        <v>536</v>
      </c>
      <c r="G167" s="36" t="s">
        <v>163</v>
      </c>
      <c r="H167" s="36" t="s">
        <v>163</v>
      </c>
      <c r="I167" s="36" t="s">
        <v>163</v>
      </c>
      <c r="J167" s="35" t="s">
        <v>549</v>
      </c>
      <c r="K167" t="s">
        <v>143</v>
      </c>
      <c r="L167" t="s">
        <v>550</v>
      </c>
      <c r="M167" s="35" t="s">
        <v>414</v>
      </c>
      <c r="N167">
        <v>8</v>
      </c>
    </row>
    <row r="168" spans="1:15" ht="26.4" x14ac:dyDescent="0.25">
      <c r="A168" s="41" t="s">
        <v>539</v>
      </c>
      <c r="B168" s="42">
        <v>18595248</v>
      </c>
      <c r="C168" s="46">
        <f>57*25</f>
        <v>1425</v>
      </c>
      <c r="D168" s="36" t="s">
        <v>556</v>
      </c>
      <c r="E168" s="36" t="s">
        <v>538</v>
      </c>
      <c r="F168" s="44" t="s">
        <v>536</v>
      </c>
      <c r="G168" s="36" t="s">
        <v>163</v>
      </c>
      <c r="H168" s="36" t="s">
        <v>163</v>
      </c>
      <c r="I168" s="36" t="s">
        <v>163</v>
      </c>
      <c r="J168" s="35" t="s">
        <v>540</v>
      </c>
      <c r="K168" t="s">
        <v>143</v>
      </c>
      <c r="L168" t="s">
        <v>141</v>
      </c>
      <c r="M168" s="35" t="s">
        <v>414</v>
      </c>
      <c r="N168">
        <v>8</v>
      </c>
    </row>
    <row r="169" spans="1:15" ht="26.4" x14ac:dyDescent="0.25">
      <c r="A169" s="41" t="s">
        <v>535</v>
      </c>
      <c r="B169" s="42">
        <v>36917675</v>
      </c>
      <c r="C169" s="46">
        <f>57*25</f>
        <v>1425</v>
      </c>
      <c r="D169" s="36" t="s">
        <v>537</v>
      </c>
      <c r="E169" s="36" t="s">
        <v>538</v>
      </c>
      <c r="F169" s="44" t="s">
        <v>536</v>
      </c>
      <c r="G169" s="36" t="s">
        <v>163</v>
      </c>
      <c r="H169" s="36" t="s">
        <v>163</v>
      </c>
      <c r="I169" s="36" t="s">
        <v>163</v>
      </c>
      <c r="J169" s="35" t="s">
        <v>232</v>
      </c>
      <c r="K169">
        <v>428</v>
      </c>
      <c r="L169" t="s">
        <v>141</v>
      </c>
      <c r="M169" s="35" t="s">
        <v>414</v>
      </c>
      <c r="N169">
        <v>8</v>
      </c>
    </row>
    <row r="170" spans="1:15" ht="26.4" x14ac:dyDescent="0.25">
      <c r="A170" s="41" t="s">
        <v>541</v>
      </c>
      <c r="B170" s="42">
        <v>24221323</v>
      </c>
      <c r="C170" s="46">
        <f>60*25</f>
        <v>1500</v>
      </c>
      <c r="D170" s="36" t="s">
        <v>558</v>
      </c>
      <c r="E170" s="36" t="s">
        <v>538</v>
      </c>
      <c r="F170" s="44" t="s">
        <v>536</v>
      </c>
      <c r="G170" s="36" t="s">
        <v>163</v>
      </c>
      <c r="H170" s="36" t="s">
        <v>163</v>
      </c>
      <c r="I170" s="36" t="s">
        <v>163</v>
      </c>
      <c r="J170" s="35" t="s">
        <v>542</v>
      </c>
      <c r="K170">
        <v>420</v>
      </c>
      <c r="L170" t="s">
        <v>141</v>
      </c>
      <c r="M170" s="35" t="s">
        <v>414</v>
      </c>
      <c r="N170">
        <v>8</v>
      </c>
    </row>
    <row r="171" spans="1:15" ht="26.4" x14ac:dyDescent="0.25">
      <c r="A171" s="34" t="s">
        <v>100</v>
      </c>
      <c r="B171" s="18">
        <v>24939938</v>
      </c>
      <c r="C171" s="37">
        <f>58*25</f>
        <v>1450</v>
      </c>
      <c r="D171" s="36" t="s">
        <v>559</v>
      </c>
      <c r="E171" s="36" t="s">
        <v>533</v>
      </c>
      <c r="F171" s="36" t="s">
        <v>532</v>
      </c>
      <c r="G171" s="36" t="s">
        <v>163</v>
      </c>
      <c r="H171" s="36" t="s">
        <v>163</v>
      </c>
      <c r="I171" s="36" t="s">
        <v>163</v>
      </c>
      <c r="J171" s="35" t="s">
        <v>358</v>
      </c>
      <c r="K171" s="35" t="s">
        <v>143</v>
      </c>
      <c r="L171" t="s">
        <v>141</v>
      </c>
      <c r="M171" s="35" t="s">
        <v>158</v>
      </c>
      <c r="N171">
        <v>8</v>
      </c>
    </row>
    <row r="172" spans="1:15" ht="26.4" x14ac:dyDescent="0.25">
      <c r="A172" s="34" t="s">
        <v>560</v>
      </c>
      <c r="B172" s="18">
        <v>37440477</v>
      </c>
      <c r="C172" s="37">
        <f>63*25</f>
        <v>1575</v>
      </c>
      <c r="D172" s="36" t="s">
        <v>561</v>
      </c>
      <c r="E172" s="36" t="s">
        <v>533</v>
      </c>
      <c r="F172" s="36" t="s">
        <v>532</v>
      </c>
      <c r="G172" s="36" t="s">
        <v>163</v>
      </c>
      <c r="H172" s="36" t="s">
        <v>163</v>
      </c>
      <c r="I172" s="36" t="s">
        <v>163</v>
      </c>
      <c r="J172" s="35" t="s">
        <v>552</v>
      </c>
      <c r="K172" s="35" t="s">
        <v>143</v>
      </c>
      <c r="L172" t="s">
        <v>141</v>
      </c>
      <c r="M172" s="35" t="s">
        <v>158</v>
      </c>
      <c r="N172">
        <v>9</v>
      </c>
    </row>
    <row r="173" spans="1:15" ht="26.4" x14ac:dyDescent="0.25">
      <c r="A173" s="34" t="s">
        <v>562</v>
      </c>
      <c r="B173" s="18">
        <v>36154751</v>
      </c>
      <c r="C173" s="37">
        <v>3650</v>
      </c>
      <c r="D173" s="36" t="s">
        <v>1026</v>
      </c>
      <c r="E173" s="36" t="s">
        <v>1027</v>
      </c>
      <c r="F173" s="36" t="s">
        <v>532</v>
      </c>
      <c r="G173" s="36" t="s">
        <v>163</v>
      </c>
      <c r="H173" s="36" t="s">
        <v>163</v>
      </c>
      <c r="I173" s="36" t="s">
        <v>163</v>
      </c>
      <c r="J173" s="35" t="s">
        <v>552</v>
      </c>
      <c r="K173" s="35" t="s">
        <v>143</v>
      </c>
      <c r="L173" t="s">
        <v>141</v>
      </c>
      <c r="M173" s="35" t="s">
        <v>158</v>
      </c>
      <c r="N173">
        <v>13</v>
      </c>
      <c r="O173" s="57">
        <v>42357</v>
      </c>
    </row>
    <row r="174" spans="1:15" ht="26.4" x14ac:dyDescent="0.25">
      <c r="A174" s="34" t="s">
        <v>436</v>
      </c>
      <c r="B174" s="18">
        <v>16099622</v>
      </c>
      <c r="C174" s="37">
        <v>1500</v>
      </c>
      <c r="D174" s="36" t="s">
        <v>563</v>
      </c>
      <c r="E174" s="44" t="s">
        <v>564</v>
      </c>
      <c r="F174" s="36" t="s">
        <v>532</v>
      </c>
      <c r="G174" s="36" t="s">
        <v>163</v>
      </c>
      <c r="H174" s="36" t="s">
        <v>163</v>
      </c>
      <c r="I174" s="36" t="s">
        <v>163</v>
      </c>
      <c r="J174" s="35" t="s">
        <v>157</v>
      </c>
      <c r="K174" s="35" t="s">
        <v>143</v>
      </c>
      <c r="L174" t="s">
        <v>141</v>
      </c>
      <c r="M174" s="35" t="s">
        <v>158</v>
      </c>
      <c r="N174">
        <v>9</v>
      </c>
    </row>
    <row r="175" spans="1:15" ht="26.4" x14ac:dyDescent="0.25">
      <c r="A175" s="41" t="s">
        <v>565</v>
      </c>
      <c r="B175" s="42">
        <v>12397514</v>
      </c>
      <c r="C175" s="46">
        <v>1250</v>
      </c>
      <c r="D175" s="43" t="s">
        <v>567</v>
      </c>
      <c r="E175" s="36" t="s">
        <v>568</v>
      </c>
      <c r="F175" s="51" t="s">
        <v>569</v>
      </c>
      <c r="G175" s="36" t="s">
        <v>163</v>
      </c>
      <c r="H175" s="36" t="s">
        <v>163</v>
      </c>
      <c r="I175" s="36" t="s">
        <v>163</v>
      </c>
      <c r="J175" s="35" t="s">
        <v>566</v>
      </c>
      <c r="K175">
        <v>92</v>
      </c>
      <c r="L175" t="s">
        <v>141</v>
      </c>
      <c r="M175" s="35" t="s">
        <v>414</v>
      </c>
      <c r="N175">
        <v>5</v>
      </c>
    </row>
    <row r="176" spans="1:15" ht="26.4" x14ac:dyDescent="0.25">
      <c r="A176" s="41" t="s">
        <v>570</v>
      </c>
      <c r="B176" s="42">
        <v>7798113</v>
      </c>
      <c r="C176" s="46">
        <v>540</v>
      </c>
      <c r="D176" s="43" t="s">
        <v>571</v>
      </c>
      <c r="E176" s="44" t="s">
        <v>572</v>
      </c>
      <c r="F176" s="44" t="s">
        <v>536</v>
      </c>
      <c r="G176" s="36" t="s">
        <v>163</v>
      </c>
      <c r="H176" s="36" t="s">
        <v>163</v>
      </c>
      <c r="I176" s="36" t="s">
        <v>163</v>
      </c>
      <c r="J176" s="35" t="s">
        <v>573</v>
      </c>
      <c r="K176">
        <v>525</v>
      </c>
      <c r="L176" t="s">
        <v>194</v>
      </c>
      <c r="M176" s="35" t="s">
        <v>414</v>
      </c>
      <c r="N176">
        <v>4</v>
      </c>
    </row>
    <row r="177" spans="1:15" ht="26.4" x14ac:dyDescent="0.25">
      <c r="A177" s="41" t="s">
        <v>502</v>
      </c>
      <c r="B177" s="42">
        <v>11199679</v>
      </c>
      <c r="C177" s="46">
        <f>84*22</f>
        <v>1848</v>
      </c>
      <c r="D177" s="43" t="s">
        <v>576</v>
      </c>
      <c r="E177" s="44" t="s">
        <v>572</v>
      </c>
      <c r="F177" s="44" t="s">
        <v>536</v>
      </c>
      <c r="G177" s="36" t="s">
        <v>163</v>
      </c>
      <c r="H177" s="36" t="s">
        <v>163</v>
      </c>
      <c r="I177" s="36" t="s">
        <v>163</v>
      </c>
      <c r="J177" s="35" t="s">
        <v>575</v>
      </c>
      <c r="K177" t="s">
        <v>143</v>
      </c>
      <c r="L177" t="s">
        <v>141</v>
      </c>
      <c r="M177" s="35" t="s">
        <v>414</v>
      </c>
      <c r="N177">
        <v>4</v>
      </c>
    </row>
    <row r="178" spans="1:15" ht="26.4" x14ac:dyDescent="0.25">
      <c r="A178" s="41" t="s">
        <v>195</v>
      </c>
      <c r="B178" s="52">
        <v>33017391</v>
      </c>
      <c r="C178" s="46">
        <v>2600</v>
      </c>
      <c r="D178" s="36" t="s">
        <v>577</v>
      </c>
      <c r="E178" s="36" t="s">
        <v>578</v>
      </c>
      <c r="F178" s="53" t="s">
        <v>569</v>
      </c>
      <c r="G178" s="36" t="s">
        <v>163</v>
      </c>
      <c r="H178" s="36" t="s">
        <v>163</v>
      </c>
      <c r="I178" s="36" t="s">
        <v>163</v>
      </c>
      <c r="J178" s="35" t="s">
        <v>198</v>
      </c>
      <c r="K178" s="35" t="s">
        <v>285</v>
      </c>
      <c r="L178" s="35" t="s">
        <v>199</v>
      </c>
      <c r="M178" s="35" t="s">
        <v>313</v>
      </c>
      <c r="N178">
        <v>30</v>
      </c>
    </row>
    <row r="179" spans="1:15" ht="26.4" x14ac:dyDescent="0.25">
      <c r="A179" s="34" t="s">
        <v>447</v>
      </c>
      <c r="B179" s="18">
        <v>22160335</v>
      </c>
      <c r="C179" s="37">
        <v>4500</v>
      </c>
      <c r="D179" s="36" t="s">
        <v>580</v>
      </c>
      <c r="E179" s="36" t="s">
        <v>581</v>
      </c>
      <c r="F179" s="36" t="s">
        <v>159</v>
      </c>
      <c r="G179" s="36" t="s">
        <v>163</v>
      </c>
      <c r="H179" s="36" t="s">
        <v>163</v>
      </c>
      <c r="I179" s="36" t="s">
        <v>163</v>
      </c>
      <c r="J179" s="35" t="s">
        <v>449</v>
      </c>
      <c r="K179" s="35">
        <v>79</v>
      </c>
      <c r="L179" s="35" t="s">
        <v>450</v>
      </c>
      <c r="M179" s="35" t="s">
        <v>158</v>
      </c>
      <c r="N179">
        <v>1</v>
      </c>
    </row>
    <row r="180" spans="1:15" ht="26.4" x14ac:dyDescent="0.25">
      <c r="A180" s="41" t="s">
        <v>586</v>
      </c>
      <c r="B180" s="52">
        <v>17908459</v>
      </c>
      <c r="C180" s="46">
        <v>9340</v>
      </c>
      <c r="D180" s="36" t="s">
        <v>582</v>
      </c>
      <c r="E180" s="36" t="s">
        <v>583</v>
      </c>
      <c r="F180" s="44" t="s">
        <v>536</v>
      </c>
      <c r="G180" s="36" t="s">
        <v>163</v>
      </c>
      <c r="H180" s="36" t="s">
        <v>163</v>
      </c>
      <c r="I180" s="36" t="s">
        <v>163</v>
      </c>
      <c r="J180" s="35" t="s">
        <v>584</v>
      </c>
      <c r="K180" s="35" t="s">
        <v>285</v>
      </c>
      <c r="L180" s="35" t="s">
        <v>585</v>
      </c>
      <c r="M180" s="35" t="s">
        <v>313</v>
      </c>
      <c r="N180">
        <v>10</v>
      </c>
    </row>
    <row r="181" spans="1:15" ht="26.4" x14ac:dyDescent="0.25">
      <c r="A181" s="41" t="s">
        <v>587</v>
      </c>
      <c r="B181" s="52">
        <v>40025767</v>
      </c>
      <c r="C181" s="46">
        <v>1680</v>
      </c>
      <c r="D181" s="43" t="s">
        <v>588</v>
      </c>
      <c r="E181" s="36" t="s">
        <v>589</v>
      </c>
      <c r="F181" s="44" t="s">
        <v>569</v>
      </c>
      <c r="G181" s="36" t="s">
        <v>163</v>
      </c>
      <c r="H181" s="36" t="s">
        <v>163</v>
      </c>
      <c r="I181" s="36" t="s">
        <v>163</v>
      </c>
      <c r="J181" s="35" t="s">
        <v>584</v>
      </c>
      <c r="K181" s="35" t="s">
        <v>285</v>
      </c>
      <c r="L181" s="35" t="s">
        <v>585</v>
      </c>
      <c r="M181" s="35" t="s">
        <v>414</v>
      </c>
      <c r="N181">
        <v>8</v>
      </c>
    </row>
    <row r="182" spans="1:15" ht="26.4" x14ac:dyDescent="0.25">
      <c r="A182" s="41" t="s">
        <v>590</v>
      </c>
      <c r="B182" s="52">
        <v>16548856</v>
      </c>
      <c r="C182" s="46">
        <v>1680</v>
      </c>
      <c r="D182" s="43" t="s">
        <v>588</v>
      </c>
      <c r="E182" s="36" t="s">
        <v>589</v>
      </c>
      <c r="F182" s="44" t="s">
        <v>569</v>
      </c>
      <c r="G182" s="36" t="s">
        <v>163</v>
      </c>
      <c r="H182" s="36" t="s">
        <v>163</v>
      </c>
      <c r="I182" s="36" t="s">
        <v>163</v>
      </c>
      <c r="J182" s="35" t="s">
        <v>575</v>
      </c>
      <c r="K182" s="35" t="s">
        <v>143</v>
      </c>
      <c r="L182" s="35" t="s">
        <v>141</v>
      </c>
      <c r="M182" s="35" t="s">
        <v>414</v>
      </c>
      <c r="N182">
        <v>8</v>
      </c>
    </row>
    <row r="183" spans="1:15" ht="26.4" x14ac:dyDescent="0.25">
      <c r="A183" s="41" t="s">
        <v>591</v>
      </c>
      <c r="B183" s="52">
        <v>24719302</v>
      </c>
      <c r="C183" s="46">
        <v>1200</v>
      </c>
      <c r="D183" s="43" t="s">
        <v>592</v>
      </c>
      <c r="E183" s="44" t="s">
        <v>593</v>
      </c>
      <c r="F183" s="44" t="s">
        <v>569</v>
      </c>
      <c r="G183" s="36" t="s">
        <v>163</v>
      </c>
      <c r="H183" s="36" t="s">
        <v>163</v>
      </c>
      <c r="I183" s="36" t="s">
        <v>163</v>
      </c>
      <c r="J183" s="35" t="s">
        <v>594</v>
      </c>
      <c r="K183">
        <v>820</v>
      </c>
      <c r="L183" s="35" t="s">
        <v>141</v>
      </c>
      <c r="M183" s="35" t="s">
        <v>414</v>
      </c>
      <c r="N183">
        <v>1</v>
      </c>
    </row>
    <row r="184" spans="1:15" ht="26.4" x14ac:dyDescent="0.25">
      <c r="A184" s="34" t="s">
        <v>224</v>
      </c>
      <c r="B184" s="18">
        <v>6699842</v>
      </c>
      <c r="C184" s="37">
        <v>3000</v>
      </c>
      <c r="D184" s="36" t="s">
        <v>595</v>
      </c>
      <c r="E184" s="36" t="s">
        <v>596</v>
      </c>
      <c r="F184" s="36" t="s">
        <v>597</v>
      </c>
      <c r="G184" s="36" t="s">
        <v>163</v>
      </c>
      <c r="H184" s="36" t="s">
        <v>163</v>
      </c>
      <c r="I184" s="36" t="s">
        <v>163</v>
      </c>
      <c r="J184" s="35" t="s">
        <v>227</v>
      </c>
      <c r="K184" s="35">
        <v>130</v>
      </c>
      <c r="L184" t="s">
        <v>194</v>
      </c>
      <c r="M184" s="35" t="s">
        <v>158</v>
      </c>
      <c r="N184">
        <v>1</v>
      </c>
    </row>
    <row r="185" spans="1:15" ht="26.4" x14ac:dyDescent="0.25">
      <c r="A185" s="34" t="s">
        <v>598</v>
      </c>
      <c r="B185" s="18">
        <v>13029272</v>
      </c>
      <c r="C185" s="37">
        <v>11000</v>
      </c>
      <c r="D185" s="36" t="s">
        <v>599</v>
      </c>
      <c r="E185" s="36" t="s">
        <v>600</v>
      </c>
      <c r="F185" s="36" t="s">
        <v>597</v>
      </c>
      <c r="G185" s="36" t="s">
        <v>163</v>
      </c>
      <c r="H185" s="36" t="s">
        <v>163</v>
      </c>
      <c r="I185" s="36" t="s">
        <v>163</v>
      </c>
      <c r="J185" s="35" t="s">
        <v>316</v>
      </c>
      <c r="K185" s="35">
        <v>541</v>
      </c>
      <c r="L185" s="35" t="s">
        <v>601</v>
      </c>
      <c r="M185" s="35" t="s">
        <v>204</v>
      </c>
      <c r="N185">
        <v>1</v>
      </c>
    </row>
    <row r="186" spans="1:15" ht="26.4" x14ac:dyDescent="0.25">
      <c r="A186" s="34" t="s">
        <v>423</v>
      </c>
      <c r="B186" s="18">
        <v>12811020</v>
      </c>
      <c r="C186" s="37">
        <v>5500</v>
      </c>
      <c r="D186" s="36" t="s">
        <v>602</v>
      </c>
      <c r="E186" s="36" t="s">
        <v>600</v>
      </c>
      <c r="F186" s="36" t="s">
        <v>597</v>
      </c>
      <c r="G186" s="36" t="s">
        <v>163</v>
      </c>
      <c r="H186" s="36" t="s">
        <v>163</v>
      </c>
      <c r="I186" s="36" t="s">
        <v>163</v>
      </c>
      <c r="J186" s="35" t="s">
        <v>425</v>
      </c>
      <c r="K186" s="35">
        <v>1989</v>
      </c>
      <c r="L186" s="35" t="s">
        <v>426</v>
      </c>
      <c r="M186" s="35" t="s">
        <v>313</v>
      </c>
      <c r="N186">
        <v>1</v>
      </c>
    </row>
    <row r="187" spans="1:15" ht="26.4" x14ac:dyDescent="0.25">
      <c r="A187" s="34" t="s">
        <v>603</v>
      </c>
      <c r="B187" s="18">
        <v>5263017</v>
      </c>
      <c r="C187" s="37">
        <v>2500</v>
      </c>
      <c r="D187" s="36" t="s">
        <v>604</v>
      </c>
      <c r="E187" s="36" t="s">
        <v>600</v>
      </c>
      <c r="F187" s="36" t="s">
        <v>597</v>
      </c>
      <c r="G187" s="36" t="s">
        <v>163</v>
      </c>
      <c r="H187" s="36" t="s">
        <v>163</v>
      </c>
      <c r="I187" s="36" t="s">
        <v>163</v>
      </c>
      <c r="J187" s="35" t="s">
        <v>255</v>
      </c>
      <c r="K187" s="35">
        <v>925</v>
      </c>
      <c r="L187" s="35" t="s">
        <v>194</v>
      </c>
      <c r="M187" s="35" t="s">
        <v>313</v>
      </c>
      <c r="N187">
        <v>1</v>
      </c>
    </row>
    <row r="188" spans="1:15" ht="26.4" x14ac:dyDescent="0.25">
      <c r="A188" s="34" t="s">
        <v>605</v>
      </c>
      <c r="B188" s="18">
        <v>16361072</v>
      </c>
      <c r="C188" s="37">
        <v>10650</v>
      </c>
      <c r="D188" s="36" t="s">
        <v>606</v>
      </c>
      <c r="E188" s="36" t="s">
        <v>600</v>
      </c>
      <c r="F188" s="36" t="s">
        <v>597</v>
      </c>
      <c r="G188" s="36" t="s">
        <v>163</v>
      </c>
      <c r="H188" s="36" t="s">
        <v>163</v>
      </c>
      <c r="I188" s="36" t="s">
        <v>163</v>
      </c>
      <c r="J188" s="35" t="s">
        <v>208</v>
      </c>
      <c r="K188" s="35">
        <v>199</v>
      </c>
      <c r="L188" s="35" t="s">
        <v>141</v>
      </c>
      <c r="M188" s="35" t="s">
        <v>313</v>
      </c>
      <c r="N188">
        <v>1</v>
      </c>
    </row>
    <row r="189" spans="1:15" ht="26.4" x14ac:dyDescent="0.25">
      <c r="A189" s="41" t="s">
        <v>365</v>
      </c>
      <c r="B189" s="42">
        <v>29860938</v>
      </c>
      <c r="C189" s="46">
        <v>65000</v>
      </c>
      <c r="D189" s="43" t="s">
        <v>366</v>
      </c>
      <c r="E189" s="36" t="s">
        <v>607</v>
      </c>
      <c r="F189" s="36" t="s">
        <v>608</v>
      </c>
      <c r="G189" s="36" t="s">
        <v>163</v>
      </c>
      <c r="H189" s="36" t="s">
        <v>163</v>
      </c>
      <c r="I189" s="36" t="s">
        <v>163</v>
      </c>
      <c r="J189" s="43" t="s">
        <v>368</v>
      </c>
      <c r="K189">
        <v>823</v>
      </c>
      <c r="L189" s="43" t="s">
        <v>194</v>
      </c>
      <c r="M189" s="43" t="s">
        <v>158</v>
      </c>
      <c r="N189">
        <v>1</v>
      </c>
    </row>
    <row r="190" spans="1:15" ht="26.4" x14ac:dyDescent="0.25">
      <c r="A190" s="41" t="s">
        <v>547</v>
      </c>
      <c r="B190" s="42">
        <v>16909166</v>
      </c>
      <c r="C190" s="46">
        <v>525</v>
      </c>
      <c r="D190" s="43" t="s">
        <v>609</v>
      </c>
      <c r="E190" s="36" t="s">
        <v>538</v>
      </c>
      <c r="F190" s="44" t="s">
        <v>536</v>
      </c>
      <c r="G190" s="36" t="s">
        <v>163</v>
      </c>
      <c r="H190" s="36" t="s">
        <v>163</v>
      </c>
      <c r="I190" s="36" t="s">
        <v>163</v>
      </c>
      <c r="J190" s="35" t="s">
        <v>546</v>
      </c>
      <c r="K190" t="s">
        <v>285</v>
      </c>
      <c r="L190" s="35" t="s">
        <v>141</v>
      </c>
      <c r="M190" s="35" t="s">
        <v>414</v>
      </c>
      <c r="N190">
        <v>31</v>
      </c>
    </row>
    <row r="191" spans="1:15" ht="26.4" x14ac:dyDescent="0.25">
      <c r="A191" s="41" t="s">
        <v>610</v>
      </c>
      <c r="B191" s="42">
        <v>36795634</v>
      </c>
      <c r="C191" s="46">
        <v>2600</v>
      </c>
      <c r="D191" s="43" t="s">
        <v>611</v>
      </c>
      <c r="E191" s="44" t="s">
        <v>593</v>
      </c>
      <c r="F191" s="44" t="s">
        <v>569</v>
      </c>
      <c r="G191" s="36" t="s">
        <v>163</v>
      </c>
      <c r="H191" s="36" t="s">
        <v>163</v>
      </c>
      <c r="I191" s="36" t="s">
        <v>163</v>
      </c>
      <c r="J191" s="35" t="s">
        <v>612</v>
      </c>
      <c r="K191">
        <v>428</v>
      </c>
      <c r="L191" s="35" t="s">
        <v>141</v>
      </c>
      <c r="M191" s="35" t="s">
        <v>414</v>
      </c>
      <c r="N191">
        <v>12</v>
      </c>
      <c r="O191" s="57">
        <v>42359</v>
      </c>
    </row>
    <row r="192" spans="1:15" ht="26.4" x14ac:dyDescent="0.25">
      <c r="A192" s="41" t="s">
        <v>102</v>
      </c>
      <c r="B192" s="42">
        <v>36986968</v>
      </c>
      <c r="C192" s="46">
        <f>217*25</f>
        <v>5425</v>
      </c>
      <c r="D192" s="36" t="s">
        <v>642</v>
      </c>
      <c r="E192" s="36" t="s">
        <v>538</v>
      </c>
      <c r="F192" s="44" t="s">
        <v>536</v>
      </c>
      <c r="G192" s="36" t="s">
        <v>163</v>
      </c>
      <c r="H192" s="36" t="s">
        <v>163</v>
      </c>
      <c r="I192" s="36" t="s">
        <v>163</v>
      </c>
      <c r="J192" s="35" t="s">
        <v>549</v>
      </c>
      <c r="K192" t="s">
        <v>143</v>
      </c>
      <c r="L192" t="s">
        <v>550</v>
      </c>
      <c r="M192" s="35" t="s">
        <v>414</v>
      </c>
      <c r="N192">
        <v>31</v>
      </c>
    </row>
    <row r="193" spans="1:15" ht="26.4" x14ac:dyDescent="0.25">
      <c r="A193" s="34" t="s">
        <v>100</v>
      </c>
      <c r="B193" s="18">
        <v>24939938</v>
      </c>
      <c r="C193" s="37">
        <f>252*25</f>
        <v>6300</v>
      </c>
      <c r="D193" s="36" t="s">
        <v>643</v>
      </c>
      <c r="E193" s="36" t="s">
        <v>608</v>
      </c>
      <c r="F193" s="36" t="s">
        <v>613</v>
      </c>
      <c r="G193" s="36" t="s">
        <v>163</v>
      </c>
      <c r="H193" s="36" t="s">
        <v>163</v>
      </c>
      <c r="I193" s="36" t="s">
        <v>163</v>
      </c>
      <c r="J193" s="35" t="s">
        <v>358</v>
      </c>
      <c r="K193" s="35" t="s">
        <v>143</v>
      </c>
      <c r="L193" t="s">
        <v>141</v>
      </c>
      <c r="M193" s="35" t="s">
        <v>158</v>
      </c>
      <c r="N193">
        <v>31</v>
      </c>
    </row>
    <row r="194" spans="1:15" ht="26.4" x14ac:dyDescent="0.25">
      <c r="A194" s="41" t="s">
        <v>541</v>
      </c>
      <c r="B194" s="42">
        <v>24221323</v>
      </c>
      <c r="C194" s="46">
        <v>6125</v>
      </c>
      <c r="D194" s="36" t="s">
        <v>644</v>
      </c>
      <c r="E194" s="36" t="s">
        <v>538</v>
      </c>
      <c r="F194" s="44" t="s">
        <v>536</v>
      </c>
      <c r="G194" s="36" t="s">
        <v>163</v>
      </c>
      <c r="H194" s="36" t="s">
        <v>163</v>
      </c>
      <c r="I194" s="36" t="s">
        <v>163</v>
      </c>
      <c r="J194" s="35" t="s">
        <v>542</v>
      </c>
      <c r="K194">
        <v>420</v>
      </c>
      <c r="L194" t="s">
        <v>141</v>
      </c>
      <c r="M194" s="35" t="s">
        <v>414</v>
      </c>
      <c r="N194">
        <v>31</v>
      </c>
    </row>
    <row r="195" spans="1:15" ht="26.4" x14ac:dyDescent="0.25">
      <c r="A195" s="34" t="s">
        <v>436</v>
      </c>
      <c r="B195" s="18">
        <v>16099622</v>
      </c>
      <c r="C195" s="37">
        <v>2816</v>
      </c>
      <c r="D195" s="36" t="s">
        <v>614</v>
      </c>
      <c r="E195" s="44" t="s">
        <v>593</v>
      </c>
      <c r="F195" s="36" t="s">
        <v>615</v>
      </c>
      <c r="G195" s="36" t="s">
        <v>163</v>
      </c>
      <c r="H195" s="36" t="s">
        <v>163</v>
      </c>
      <c r="I195" s="36" t="s">
        <v>163</v>
      </c>
      <c r="J195" s="35" t="s">
        <v>157</v>
      </c>
      <c r="K195" s="35" t="s">
        <v>143</v>
      </c>
      <c r="L195" t="s">
        <v>141</v>
      </c>
      <c r="M195" s="35" t="s">
        <v>158</v>
      </c>
      <c r="N195">
        <v>13</v>
      </c>
      <c r="O195" s="57">
        <v>42357</v>
      </c>
    </row>
    <row r="196" spans="1:15" ht="26.4" x14ac:dyDescent="0.25">
      <c r="A196" s="41" t="s">
        <v>616</v>
      </c>
      <c r="B196" s="42">
        <v>37038936</v>
      </c>
      <c r="C196" s="46">
        <v>1625</v>
      </c>
      <c r="D196" s="43" t="s">
        <v>618</v>
      </c>
      <c r="E196" s="44" t="s">
        <v>593</v>
      </c>
      <c r="F196" s="44" t="s">
        <v>536</v>
      </c>
      <c r="G196" s="36" t="s">
        <v>163</v>
      </c>
      <c r="H196" s="36" t="s">
        <v>163</v>
      </c>
      <c r="I196" s="36" t="s">
        <v>163</v>
      </c>
      <c r="J196" s="35" t="s">
        <v>617</v>
      </c>
      <c r="K196" s="35" t="s">
        <v>143</v>
      </c>
      <c r="L196" t="s">
        <v>141</v>
      </c>
      <c r="M196" s="35" t="s">
        <v>414</v>
      </c>
      <c r="N196">
        <v>31</v>
      </c>
    </row>
    <row r="197" spans="1:15" ht="26.4" x14ac:dyDescent="0.25">
      <c r="A197" s="41" t="s">
        <v>619</v>
      </c>
      <c r="B197" s="42">
        <v>30941493</v>
      </c>
      <c r="C197" s="46">
        <v>1625</v>
      </c>
      <c r="D197" s="43" t="s">
        <v>618</v>
      </c>
      <c r="E197" s="44" t="s">
        <v>593</v>
      </c>
      <c r="F197" s="44" t="s">
        <v>536</v>
      </c>
      <c r="G197" s="36" t="s">
        <v>163</v>
      </c>
      <c r="H197" s="36" t="s">
        <v>163</v>
      </c>
      <c r="I197" s="36" t="s">
        <v>163</v>
      </c>
      <c r="J197" s="35" t="s">
        <v>620</v>
      </c>
      <c r="K197" s="35" t="s">
        <v>143</v>
      </c>
      <c r="L197" t="s">
        <v>141</v>
      </c>
      <c r="M197" s="35" t="s">
        <v>414</v>
      </c>
      <c r="N197">
        <v>31</v>
      </c>
    </row>
    <row r="198" spans="1:15" ht="26.4" x14ac:dyDescent="0.25">
      <c r="A198" s="41" t="s">
        <v>621</v>
      </c>
      <c r="B198" s="42">
        <v>38019654</v>
      </c>
      <c r="C198" s="46">
        <v>1625</v>
      </c>
      <c r="D198" s="43" t="s">
        <v>618</v>
      </c>
      <c r="E198" s="44" t="s">
        <v>593</v>
      </c>
      <c r="F198" s="44" t="s">
        <v>536</v>
      </c>
      <c r="G198" s="36" t="s">
        <v>163</v>
      </c>
      <c r="H198" s="36" t="s">
        <v>163</v>
      </c>
      <c r="I198" s="36" t="s">
        <v>163</v>
      </c>
      <c r="J198" s="35" t="s">
        <v>545</v>
      </c>
      <c r="K198" s="35" t="s">
        <v>143</v>
      </c>
      <c r="L198" t="s">
        <v>141</v>
      </c>
      <c r="M198" s="35" t="s">
        <v>414</v>
      </c>
      <c r="N198">
        <v>31</v>
      </c>
    </row>
    <row r="199" spans="1:15" ht="26.4" x14ac:dyDescent="0.25">
      <c r="A199" s="41" t="s">
        <v>622</v>
      </c>
      <c r="B199" s="42">
        <v>34441063</v>
      </c>
      <c r="C199" s="46">
        <v>1625</v>
      </c>
      <c r="D199" s="43" t="s">
        <v>618</v>
      </c>
      <c r="E199" s="44" t="s">
        <v>593</v>
      </c>
      <c r="F199" s="44" t="s">
        <v>536</v>
      </c>
      <c r="G199" s="36" t="s">
        <v>163</v>
      </c>
      <c r="H199" s="36" t="s">
        <v>163</v>
      </c>
      <c r="I199" s="36" t="s">
        <v>163</v>
      </c>
      <c r="J199" s="35" t="s">
        <v>575</v>
      </c>
      <c r="K199" s="35" t="s">
        <v>143</v>
      </c>
      <c r="L199" t="s">
        <v>141</v>
      </c>
      <c r="M199" s="35" t="s">
        <v>414</v>
      </c>
      <c r="N199">
        <v>31</v>
      </c>
    </row>
    <row r="200" spans="1:15" ht="26.4" x14ac:dyDescent="0.25">
      <c r="A200" s="41" t="s">
        <v>539</v>
      </c>
      <c r="B200" s="42">
        <v>18595248</v>
      </c>
      <c r="C200" s="46">
        <v>6125</v>
      </c>
      <c r="D200" s="36" t="s">
        <v>647</v>
      </c>
      <c r="E200" s="36" t="s">
        <v>538</v>
      </c>
      <c r="F200" s="44" t="s">
        <v>536</v>
      </c>
      <c r="G200" s="36" t="s">
        <v>163</v>
      </c>
      <c r="H200" s="36" t="s">
        <v>163</v>
      </c>
      <c r="I200" s="36" t="s">
        <v>163</v>
      </c>
      <c r="J200" s="35" t="s">
        <v>540</v>
      </c>
      <c r="K200" t="s">
        <v>143</v>
      </c>
      <c r="L200" t="s">
        <v>141</v>
      </c>
      <c r="M200" s="35" t="s">
        <v>414</v>
      </c>
      <c r="N200">
        <v>31</v>
      </c>
    </row>
    <row r="201" spans="1:15" ht="26.4" x14ac:dyDescent="0.25">
      <c r="A201" s="41" t="s">
        <v>535</v>
      </c>
      <c r="B201" s="42">
        <v>36917675</v>
      </c>
      <c r="C201" s="46">
        <v>6050</v>
      </c>
      <c r="D201" s="36" t="s">
        <v>648</v>
      </c>
      <c r="E201" s="36" t="s">
        <v>538</v>
      </c>
      <c r="F201" s="44" t="s">
        <v>536</v>
      </c>
      <c r="G201" s="36" t="s">
        <v>163</v>
      </c>
      <c r="H201" s="36" t="s">
        <v>163</v>
      </c>
      <c r="I201" s="36" t="s">
        <v>163</v>
      </c>
      <c r="J201" s="35" t="s">
        <v>232</v>
      </c>
      <c r="K201">
        <v>428</v>
      </c>
      <c r="L201" t="s">
        <v>141</v>
      </c>
      <c r="M201" s="35" t="s">
        <v>414</v>
      </c>
      <c r="N201">
        <v>31</v>
      </c>
    </row>
    <row r="202" spans="1:15" ht="26.4" x14ac:dyDescent="0.25">
      <c r="A202" s="41" t="s">
        <v>650</v>
      </c>
      <c r="B202" s="42">
        <v>37440477</v>
      </c>
      <c r="C202" s="46">
        <v>4000</v>
      </c>
      <c r="D202" s="36" t="s">
        <v>649</v>
      </c>
      <c r="E202" s="36" t="s">
        <v>538</v>
      </c>
      <c r="F202" s="44" t="s">
        <v>536</v>
      </c>
      <c r="G202" s="36" t="s">
        <v>163</v>
      </c>
      <c r="H202" s="36" t="s">
        <v>163</v>
      </c>
      <c r="I202" s="36" t="s">
        <v>163</v>
      </c>
      <c r="J202" s="35" t="s">
        <v>584</v>
      </c>
      <c r="K202" t="s">
        <v>143</v>
      </c>
      <c r="L202" t="s">
        <v>141</v>
      </c>
      <c r="M202" s="35" t="s">
        <v>414</v>
      </c>
      <c r="N202">
        <v>31</v>
      </c>
    </row>
    <row r="203" spans="1:15" ht="26.4" x14ac:dyDescent="0.25">
      <c r="A203" s="41" t="s">
        <v>653</v>
      </c>
      <c r="B203" s="42">
        <v>38179365</v>
      </c>
      <c r="C203" s="46">
        <v>1200</v>
      </c>
      <c r="D203" s="36" t="s">
        <v>625</v>
      </c>
      <c r="E203" s="44" t="s">
        <v>593</v>
      </c>
      <c r="F203" s="44" t="s">
        <v>569</v>
      </c>
      <c r="G203" s="36" t="s">
        <v>163</v>
      </c>
      <c r="H203" s="36" t="s">
        <v>163</v>
      </c>
      <c r="I203" s="36" t="s">
        <v>163</v>
      </c>
      <c r="J203" s="35" t="s">
        <v>623</v>
      </c>
      <c r="K203" t="s">
        <v>143</v>
      </c>
      <c r="L203" t="s">
        <v>141</v>
      </c>
      <c r="M203" s="35" t="s">
        <v>414</v>
      </c>
      <c r="N203">
        <v>31</v>
      </c>
    </row>
    <row r="204" spans="1:15" ht="26.4" x14ac:dyDescent="0.25">
      <c r="A204" s="41" t="s">
        <v>624</v>
      </c>
      <c r="B204" s="42">
        <v>38338477</v>
      </c>
      <c r="C204" s="46">
        <v>1500</v>
      </c>
      <c r="D204" s="36" t="s">
        <v>625</v>
      </c>
      <c r="E204" s="44" t="s">
        <v>628</v>
      </c>
      <c r="F204" s="44" t="s">
        <v>626</v>
      </c>
      <c r="G204" s="36" t="s">
        <v>163</v>
      </c>
      <c r="H204" s="36" t="s">
        <v>163</v>
      </c>
      <c r="I204" s="36" t="s">
        <v>163</v>
      </c>
      <c r="J204" s="35" t="s">
        <v>627</v>
      </c>
      <c r="K204">
        <v>139</v>
      </c>
      <c r="L204" t="s">
        <v>141</v>
      </c>
      <c r="M204" s="35" t="s">
        <v>414</v>
      </c>
      <c r="N204">
        <v>31</v>
      </c>
    </row>
    <row r="205" spans="1:15" ht="26.4" x14ac:dyDescent="0.25">
      <c r="A205" s="34" t="s">
        <v>629</v>
      </c>
      <c r="B205" s="18">
        <v>27805447</v>
      </c>
      <c r="C205" s="37">
        <v>3000</v>
      </c>
      <c r="D205" s="36" t="s">
        <v>630</v>
      </c>
      <c r="E205" s="36" t="s">
        <v>631</v>
      </c>
      <c r="F205" s="36" t="s">
        <v>597</v>
      </c>
      <c r="G205" s="36" t="s">
        <v>163</v>
      </c>
      <c r="H205" s="36" t="s">
        <v>163</v>
      </c>
      <c r="I205" s="36" t="s">
        <v>163</v>
      </c>
      <c r="J205" s="35" t="s">
        <v>418</v>
      </c>
      <c r="K205" s="35" t="s">
        <v>143</v>
      </c>
      <c r="L205" s="35" t="s">
        <v>632</v>
      </c>
      <c r="M205" s="35" t="s">
        <v>313</v>
      </c>
      <c r="N205">
        <v>1</v>
      </c>
    </row>
    <row r="206" spans="1:15" ht="26.4" x14ac:dyDescent="0.25">
      <c r="A206" s="34" t="s">
        <v>633</v>
      </c>
      <c r="B206" s="18">
        <v>35636202</v>
      </c>
      <c r="C206" s="37">
        <v>3500</v>
      </c>
      <c r="D206" s="36" t="s">
        <v>634</v>
      </c>
      <c r="E206" s="36" t="s">
        <v>631</v>
      </c>
      <c r="F206" s="36" t="s">
        <v>597</v>
      </c>
      <c r="G206" s="36" t="s">
        <v>163</v>
      </c>
      <c r="H206" s="36" t="s">
        <v>163</v>
      </c>
      <c r="I206" s="36" t="s">
        <v>163</v>
      </c>
      <c r="J206" s="35" t="s">
        <v>227</v>
      </c>
      <c r="K206" s="35">
        <v>130</v>
      </c>
      <c r="L206" s="35" t="s">
        <v>194</v>
      </c>
      <c r="M206" s="35" t="s">
        <v>313</v>
      </c>
      <c r="N206">
        <v>1</v>
      </c>
    </row>
    <row r="207" spans="1:15" ht="26.4" x14ac:dyDescent="0.25">
      <c r="A207" s="34" t="s">
        <v>256</v>
      </c>
      <c r="B207" s="18">
        <v>8652547</v>
      </c>
      <c r="C207" s="37">
        <v>900</v>
      </c>
      <c r="D207" s="36" t="s">
        <v>635</v>
      </c>
      <c r="E207" s="36" t="s">
        <v>631</v>
      </c>
      <c r="F207" s="36" t="s">
        <v>597</v>
      </c>
      <c r="G207" s="36" t="s">
        <v>163</v>
      </c>
      <c r="H207" s="36" t="s">
        <v>163</v>
      </c>
      <c r="I207" s="36" t="s">
        <v>163</v>
      </c>
      <c r="J207" s="35" t="s">
        <v>157</v>
      </c>
      <c r="K207" s="35" t="s">
        <v>285</v>
      </c>
      <c r="L207" s="35" t="s">
        <v>258</v>
      </c>
      <c r="M207" s="35" t="s">
        <v>313</v>
      </c>
      <c r="N207">
        <v>1</v>
      </c>
    </row>
    <row r="208" spans="1:15" ht="26.4" x14ac:dyDescent="0.25">
      <c r="A208" s="34" t="s">
        <v>605</v>
      </c>
      <c r="B208" s="18">
        <v>16361072</v>
      </c>
      <c r="C208" s="37">
        <v>10000</v>
      </c>
      <c r="D208" s="36" t="s">
        <v>636</v>
      </c>
      <c r="E208" s="36" t="s">
        <v>631</v>
      </c>
      <c r="F208" s="36" t="s">
        <v>597</v>
      </c>
      <c r="G208" s="36" t="s">
        <v>163</v>
      </c>
      <c r="H208" s="36" t="s">
        <v>163</v>
      </c>
      <c r="I208" s="36" t="s">
        <v>163</v>
      </c>
      <c r="J208" s="35" t="s">
        <v>208</v>
      </c>
      <c r="K208" s="35">
        <v>199</v>
      </c>
      <c r="L208" s="35" t="s">
        <v>141</v>
      </c>
      <c r="M208" s="35" t="s">
        <v>313</v>
      </c>
      <c r="N208">
        <v>1</v>
      </c>
    </row>
    <row r="209" spans="1:14" ht="26.4" x14ac:dyDescent="0.25">
      <c r="A209" s="41" t="s">
        <v>228</v>
      </c>
      <c r="B209" s="42">
        <v>16684064</v>
      </c>
      <c r="C209" s="46">
        <v>4500</v>
      </c>
      <c r="D209" s="36" t="s">
        <v>639</v>
      </c>
      <c r="E209" s="36" t="s">
        <v>631</v>
      </c>
      <c r="F209" s="36" t="s">
        <v>597</v>
      </c>
      <c r="G209" s="36" t="s">
        <v>163</v>
      </c>
      <c r="H209" s="36" t="s">
        <v>163</v>
      </c>
      <c r="I209" s="36" t="s">
        <v>163</v>
      </c>
      <c r="J209" s="43" t="s">
        <v>637</v>
      </c>
      <c r="K209" s="35">
        <v>973</v>
      </c>
      <c r="L209" s="43" t="s">
        <v>141</v>
      </c>
      <c r="M209" s="43" t="s">
        <v>313</v>
      </c>
      <c r="N209">
        <v>1</v>
      </c>
    </row>
    <row r="210" spans="1:14" ht="26.4" x14ac:dyDescent="0.25">
      <c r="A210" s="41" t="s">
        <v>638</v>
      </c>
      <c r="B210" s="42">
        <v>13821642</v>
      </c>
      <c r="C210" s="46">
        <v>8000</v>
      </c>
      <c r="D210" s="36" t="s">
        <v>641</v>
      </c>
      <c r="E210" s="36" t="s">
        <v>631</v>
      </c>
      <c r="F210" s="36" t="s">
        <v>597</v>
      </c>
      <c r="G210" s="36" t="s">
        <v>163</v>
      </c>
      <c r="H210" s="36" t="s">
        <v>163</v>
      </c>
      <c r="I210" s="36" t="s">
        <v>163</v>
      </c>
      <c r="J210" s="43" t="s">
        <v>640</v>
      </c>
      <c r="K210" s="35">
        <v>371</v>
      </c>
      <c r="L210" s="43" t="s">
        <v>269</v>
      </c>
      <c r="M210" s="43" t="s">
        <v>313</v>
      </c>
      <c r="N210">
        <v>1</v>
      </c>
    </row>
    <row r="211" spans="1:14" ht="26.4" x14ac:dyDescent="0.25">
      <c r="A211" s="41" t="s">
        <v>543</v>
      </c>
      <c r="B211" s="42">
        <v>20888915</v>
      </c>
      <c r="D211" s="43" t="s">
        <v>645</v>
      </c>
      <c r="E211" s="44" t="s">
        <v>628</v>
      </c>
      <c r="F211" s="44" t="s">
        <v>646</v>
      </c>
      <c r="G211" s="36" t="s">
        <v>163</v>
      </c>
      <c r="H211" s="36" t="s">
        <v>163</v>
      </c>
      <c r="I211" s="36" t="s">
        <v>163</v>
      </c>
      <c r="J211" s="35" t="s">
        <v>545</v>
      </c>
      <c r="K211" s="35">
        <v>72</v>
      </c>
      <c r="L211" s="35" t="s">
        <v>141</v>
      </c>
      <c r="M211" s="35" t="s">
        <v>414</v>
      </c>
      <c r="N211">
        <v>1</v>
      </c>
    </row>
    <row r="212" spans="1:14" ht="26.4" x14ac:dyDescent="0.25">
      <c r="A212" s="41" t="s">
        <v>562</v>
      </c>
      <c r="B212" s="42">
        <v>36154751</v>
      </c>
      <c r="C212" s="46">
        <v>5950</v>
      </c>
      <c r="D212" s="36" t="s">
        <v>651</v>
      </c>
      <c r="E212" s="36" t="s">
        <v>538</v>
      </c>
      <c r="F212" s="44" t="s">
        <v>536</v>
      </c>
      <c r="G212" s="36" t="s">
        <v>163</v>
      </c>
      <c r="H212" s="36" t="s">
        <v>163</v>
      </c>
      <c r="I212" s="36" t="s">
        <v>163</v>
      </c>
      <c r="J212" s="35" t="s">
        <v>584</v>
      </c>
      <c r="K212" t="s">
        <v>143</v>
      </c>
      <c r="L212" s="35" t="s">
        <v>585</v>
      </c>
      <c r="M212" s="35" t="s">
        <v>414</v>
      </c>
      <c r="N212">
        <v>31</v>
      </c>
    </row>
    <row r="213" spans="1:14" ht="26.4" x14ac:dyDescent="0.25">
      <c r="A213" s="41" t="s">
        <v>666</v>
      </c>
      <c r="B213" s="42">
        <v>25918492</v>
      </c>
      <c r="C213" s="46">
        <v>2310</v>
      </c>
      <c r="D213" s="43" t="s">
        <v>654</v>
      </c>
      <c r="E213" s="44" t="s">
        <v>593</v>
      </c>
      <c r="F213" s="44" t="s">
        <v>646</v>
      </c>
      <c r="G213" s="36" t="s">
        <v>163</v>
      </c>
      <c r="H213" s="36" t="s">
        <v>163</v>
      </c>
      <c r="I213" s="36" t="s">
        <v>163</v>
      </c>
      <c r="J213" s="35" t="s">
        <v>652</v>
      </c>
      <c r="K213" t="s">
        <v>143</v>
      </c>
      <c r="L213" s="35" t="s">
        <v>141</v>
      </c>
      <c r="M213" s="35" t="s">
        <v>414</v>
      </c>
      <c r="N213">
        <v>31</v>
      </c>
    </row>
    <row r="214" spans="1:14" ht="26.4" x14ac:dyDescent="0.25">
      <c r="A214" s="41" t="s">
        <v>502</v>
      </c>
      <c r="B214" s="42">
        <v>11199679</v>
      </c>
      <c r="C214" s="46">
        <v>3872</v>
      </c>
      <c r="D214" s="36" t="s">
        <v>655</v>
      </c>
      <c r="E214" s="36" t="s">
        <v>532</v>
      </c>
      <c r="F214" s="36" t="s">
        <v>613</v>
      </c>
      <c r="G214" s="36" t="s">
        <v>163</v>
      </c>
      <c r="H214" s="36" t="s">
        <v>163</v>
      </c>
      <c r="I214" s="36" t="s">
        <v>163</v>
      </c>
      <c r="J214" s="43" t="s">
        <v>418</v>
      </c>
      <c r="K214" s="43" t="s">
        <v>143</v>
      </c>
      <c r="L214" s="43" t="s">
        <v>141</v>
      </c>
      <c r="M214" s="43" t="s">
        <v>313</v>
      </c>
      <c r="N214">
        <v>31</v>
      </c>
    </row>
    <row r="215" spans="1:14" ht="26.4" x14ac:dyDescent="0.25">
      <c r="A215" s="41" t="s">
        <v>656</v>
      </c>
      <c r="B215" s="42">
        <v>22816756</v>
      </c>
      <c r="C215" s="46">
        <v>1254</v>
      </c>
      <c r="D215" s="36" t="s">
        <v>657</v>
      </c>
      <c r="E215" s="54" t="s">
        <v>658</v>
      </c>
      <c r="F215" s="44" t="s">
        <v>536</v>
      </c>
      <c r="G215" s="36" t="s">
        <v>163</v>
      </c>
      <c r="H215" s="36" t="s">
        <v>163</v>
      </c>
      <c r="I215" s="36" t="s">
        <v>163</v>
      </c>
      <c r="J215" s="35" t="s">
        <v>549</v>
      </c>
      <c r="K215" t="s">
        <v>143</v>
      </c>
      <c r="L215" s="35" t="s">
        <v>141</v>
      </c>
      <c r="M215" s="35" t="s">
        <v>414</v>
      </c>
      <c r="N215">
        <v>31</v>
      </c>
    </row>
    <row r="216" spans="1:14" ht="26.4" x14ac:dyDescent="0.25">
      <c r="A216" s="41" t="s">
        <v>659</v>
      </c>
      <c r="B216" s="42">
        <v>28837107</v>
      </c>
      <c r="C216" s="46">
        <v>6000</v>
      </c>
      <c r="D216" s="36" t="s">
        <v>660</v>
      </c>
      <c r="E216" s="54" t="s">
        <v>661</v>
      </c>
      <c r="F216" s="44" t="s">
        <v>569</v>
      </c>
      <c r="G216" s="36" t="s">
        <v>163</v>
      </c>
      <c r="H216" s="36" t="s">
        <v>163</v>
      </c>
      <c r="I216" s="36" t="s">
        <v>163</v>
      </c>
      <c r="J216" s="35" t="s">
        <v>662</v>
      </c>
      <c r="K216" t="s">
        <v>143</v>
      </c>
      <c r="L216" s="35" t="s">
        <v>141</v>
      </c>
      <c r="M216" s="35" t="s">
        <v>414</v>
      </c>
      <c r="N216">
        <v>4</v>
      </c>
    </row>
    <row r="217" spans="1:14" ht="26.4" x14ac:dyDescent="0.25">
      <c r="A217" s="41" t="s">
        <v>663</v>
      </c>
      <c r="B217" s="42">
        <v>36116679</v>
      </c>
      <c r="C217" s="46">
        <v>1950</v>
      </c>
      <c r="D217" s="36" t="s">
        <v>625</v>
      </c>
      <c r="E217" s="44" t="s">
        <v>628</v>
      </c>
      <c r="F217" s="44" t="s">
        <v>626</v>
      </c>
      <c r="G217" s="36" t="s">
        <v>163</v>
      </c>
      <c r="H217" s="36" t="s">
        <v>163</v>
      </c>
      <c r="I217" s="36" t="s">
        <v>163</v>
      </c>
      <c r="J217" s="35" t="s">
        <v>612</v>
      </c>
      <c r="K217">
        <v>293</v>
      </c>
      <c r="L217" s="35" t="s">
        <v>141</v>
      </c>
      <c r="M217" s="35" t="s">
        <v>414</v>
      </c>
      <c r="N217">
        <v>31</v>
      </c>
    </row>
    <row r="218" spans="1:14" ht="26.4" x14ac:dyDescent="0.25">
      <c r="A218" s="41" t="s">
        <v>665</v>
      </c>
      <c r="B218" s="42">
        <v>38338473</v>
      </c>
      <c r="C218" s="46">
        <v>1200</v>
      </c>
      <c r="D218" s="36" t="s">
        <v>625</v>
      </c>
      <c r="E218" s="54" t="s">
        <v>628</v>
      </c>
      <c r="F218" s="44" t="s">
        <v>569</v>
      </c>
      <c r="G218" s="36" t="s">
        <v>163</v>
      </c>
      <c r="H218" s="36" t="s">
        <v>163</v>
      </c>
      <c r="I218" s="36" t="s">
        <v>163</v>
      </c>
      <c r="J218" s="35" t="s">
        <v>664</v>
      </c>
      <c r="K218">
        <v>64</v>
      </c>
      <c r="L218" s="35" t="s">
        <v>141</v>
      </c>
      <c r="M218" s="35" t="s">
        <v>414</v>
      </c>
      <c r="N218">
        <v>31</v>
      </c>
    </row>
    <row r="219" spans="1:14" ht="26.4" x14ac:dyDescent="0.25">
      <c r="A219" s="41" t="s">
        <v>667</v>
      </c>
      <c r="B219" s="42">
        <v>12763695</v>
      </c>
      <c r="C219" s="46">
        <v>2900</v>
      </c>
      <c r="D219" s="36" t="s">
        <v>669</v>
      </c>
      <c r="E219" t="s">
        <v>670</v>
      </c>
      <c r="F219" s="44" t="s">
        <v>646</v>
      </c>
      <c r="G219" s="36" t="s">
        <v>163</v>
      </c>
      <c r="H219" s="36" t="s">
        <v>163</v>
      </c>
      <c r="I219" s="36" t="s">
        <v>163</v>
      </c>
      <c r="J219" s="35" t="s">
        <v>668</v>
      </c>
      <c r="K219">
        <v>665</v>
      </c>
      <c r="L219" s="35" t="s">
        <v>141</v>
      </c>
      <c r="M219" s="35" t="s">
        <v>414</v>
      </c>
      <c r="N219">
        <v>15</v>
      </c>
    </row>
    <row r="220" spans="1:14" ht="26.4" x14ac:dyDescent="0.25">
      <c r="A220" s="41" t="s">
        <v>671</v>
      </c>
      <c r="B220" s="42">
        <v>6698429</v>
      </c>
      <c r="C220" s="46">
        <v>50000</v>
      </c>
      <c r="D220" s="36" t="s">
        <v>672</v>
      </c>
      <c r="E220" s="54" t="s">
        <v>628</v>
      </c>
      <c r="F220" s="44" t="s">
        <v>646</v>
      </c>
      <c r="G220" s="36" t="s">
        <v>163</v>
      </c>
      <c r="H220" s="36" t="s">
        <v>163</v>
      </c>
      <c r="I220" s="36" t="s">
        <v>163</v>
      </c>
      <c r="J220" s="35" t="s">
        <v>545</v>
      </c>
      <c r="K220" t="s">
        <v>143</v>
      </c>
      <c r="L220" s="35" t="s">
        <v>141</v>
      </c>
      <c r="M220" s="35" t="s">
        <v>414</v>
      </c>
      <c r="N220">
        <v>20</v>
      </c>
    </row>
    <row r="221" spans="1:14" ht="26.4" x14ac:dyDescent="0.25">
      <c r="A221" s="41" t="s">
        <v>673</v>
      </c>
      <c r="B221" s="42">
        <v>17816910</v>
      </c>
      <c r="C221" s="46">
        <v>800</v>
      </c>
      <c r="D221" s="36" t="s">
        <v>674</v>
      </c>
      <c r="E221" s="54" t="s">
        <v>628</v>
      </c>
      <c r="F221" s="44" t="s">
        <v>626</v>
      </c>
      <c r="G221" s="36" t="s">
        <v>163</v>
      </c>
      <c r="H221" s="36" t="s">
        <v>163</v>
      </c>
      <c r="I221" s="36" t="s">
        <v>163</v>
      </c>
      <c r="J221" s="35" t="s">
        <v>664</v>
      </c>
      <c r="K221">
        <v>64</v>
      </c>
      <c r="L221" s="35" t="s">
        <v>141</v>
      </c>
      <c r="M221" s="35" t="s">
        <v>414</v>
      </c>
      <c r="N221">
        <v>3</v>
      </c>
    </row>
    <row r="222" spans="1:14" ht="26.4" x14ac:dyDescent="0.25">
      <c r="A222" s="41" t="s">
        <v>659</v>
      </c>
      <c r="B222" s="42">
        <v>28837107</v>
      </c>
      <c r="C222" s="46">
        <v>1200</v>
      </c>
      <c r="D222" s="36" t="s">
        <v>675</v>
      </c>
      <c r="E222" s="54" t="s">
        <v>661</v>
      </c>
      <c r="F222" s="44" t="s">
        <v>569</v>
      </c>
      <c r="G222" s="36" t="s">
        <v>163</v>
      </c>
      <c r="H222" s="36" t="s">
        <v>163</v>
      </c>
      <c r="I222" s="36" t="s">
        <v>163</v>
      </c>
      <c r="J222" s="35" t="s">
        <v>662</v>
      </c>
      <c r="K222" t="s">
        <v>143</v>
      </c>
      <c r="L222" s="35" t="s">
        <v>141</v>
      </c>
      <c r="M222" s="35" t="s">
        <v>414</v>
      </c>
      <c r="N222">
        <v>4</v>
      </c>
    </row>
    <row r="223" spans="1:14" ht="26.4" x14ac:dyDescent="0.25">
      <c r="A223" s="41" t="s">
        <v>570</v>
      </c>
      <c r="B223" s="42">
        <v>7798113</v>
      </c>
      <c r="C223" s="46">
        <v>1200</v>
      </c>
      <c r="D223" s="36" t="s">
        <v>676</v>
      </c>
      <c r="E223" s="54" t="s">
        <v>593</v>
      </c>
      <c r="F223" s="44" t="s">
        <v>536</v>
      </c>
      <c r="G223" s="36" t="s">
        <v>163</v>
      </c>
      <c r="H223" s="36" t="s">
        <v>163</v>
      </c>
      <c r="I223" s="36" t="s">
        <v>163</v>
      </c>
      <c r="J223" s="35" t="s">
        <v>573</v>
      </c>
      <c r="K223" t="s">
        <v>677</v>
      </c>
      <c r="L223" s="35" t="s">
        <v>194</v>
      </c>
      <c r="M223" s="35" t="s">
        <v>414</v>
      </c>
      <c r="N223">
        <v>5</v>
      </c>
    </row>
    <row r="224" spans="1:14" ht="26.4" x14ac:dyDescent="0.25">
      <c r="A224" s="41" t="s">
        <v>565</v>
      </c>
      <c r="B224" s="42">
        <v>12397514</v>
      </c>
      <c r="C224" s="46">
        <v>1640</v>
      </c>
      <c r="D224" s="36" t="s">
        <v>678</v>
      </c>
      <c r="E224" s="55" t="s">
        <v>679</v>
      </c>
      <c r="F224" s="56" t="s">
        <v>536</v>
      </c>
      <c r="G224" s="36" t="s">
        <v>163</v>
      </c>
      <c r="H224" s="36" t="s">
        <v>163</v>
      </c>
      <c r="I224" s="36" t="s">
        <v>163</v>
      </c>
      <c r="J224" s="35" t="s">
        <v>566</v>
      </c>
      <c r="K224">
        <v>92</v>
      </c>
      <c r="L224" s="35" t="s">
        <v>141</v>
      </c>
      <c r="M224" s="35" t="s">
        <v>313</v>
      </c>
      <c r="N224">
        <v>5</v>
      </c>
    </row>
    <row r="225" spans="1:15" ht="26.4" x14ac:dyDescent="0.25">
      <c r="A225" s="41" t="s">
        <v>228</v>
      </c>
      <c r="B225" s="42">
        <v>16684064</v>
      </c>
      <c r="C225" s="37">
        <v>13000</v>
      </c>
      <c r="D225" s="36" t="s">
        <v>681</v>
      </c>
      <c r="E225" s="36" t="s">
        <v>680</v>
      </c>
      <c r="F225" s="36" t="s">
        <v>682</v>
      </c>
      <c r="G225" s="36" t="s">
        <v>163</v>
      </c>
      <c r="H225" s="36" t="s">
        <v>163</v>
      </c>
      <c r="I225" s="36" t="s">
        <v>163</v>
      </c>
      <c r="J225" s="35" t="s">
        <v>637</v>
      </c>
      <c r="K225" s="35">
        <v>371</v>
      </c>
      <c r="L225" s="35" t="s">
        <v>141</v>
      </c>
      <c r="M225" s="35" t="s">
        <v>313</v>
      </c>
      <c r="N225">
        <v>1</v>
      </c>
    </row>
    <row r="226" spans="1:15" ht="26.4" x14ac:dyDescent="0.25">
      <c r="A226" s="41" t="s">
        <v>683</v>
      </c>
      <c r="B226" s="42">
        <v>10870795</v>
      </c>
      <c r="C226" s="37">
        <v>1000</v>
      </c>
      <c r="D226" s="36" t="s">
        <v>684</v>
      </c>
      <c r="E226" s="36" t="s">
        <v>680</v>
      </c>
      <c r="F226" s="36" t="s">
        <v>682</v>
      </c>
      <c r="G226" s="36" t="s">
        <v>163</v>
      </c>
      <c r="H226" s="36" t="s">
        <v>163</v>
      </c>
      <c r="I226" s="36" t="s">
        <v>163</v>
      </c>
      <c r="J226" s="35" t="s">
        <v>316</v>
      </c>
      <c r="K226" s="35">
        <v>35</v>
      </c>
      <c r="L226" s="35" t="s">
        <v>194</v>
      </c>
      <c r="M226" s="35" t="s">
        <v>313</v>
      </c>
      <c r="N226">
        <v>1</v>
      </c>
    </row>
    <row r="227" spans="1:15" ht="26.4" x14ac:dyDescent="0.25">
      <c r="A227" s="41" t="s">
        <v>685</v>
      </c>
      <c r="B227" s="42">
        <v>8206244</v>
      </c>
      <c r="C227" s="46">
        <v>1400</v>
      </c>
      <c r="D227" s="43" t="s">
        <v>687</v>
      </c>
      <c r="E227" t="s">
        <v>686</v>
      </c>
      <c r="F227" s="54" t="s">
        <v>569</v>
      </c>
      <c r="G227" s="36" t="s">
        <v>163</v>
      </c>
      <c r="H227" s="36" t="s">
        <v>163</v>
      </c>
      <c r="I227" s="36" t="s">
        <v>163</v>
      </c>
      <c r="J227" s="35" t="s">
        <v>208</v>
      </c>
      <c r="K227" s="35">
        <v>248</v>
      </c>
      <c r="L227" s="35" t="s">
        <v>141</v>
      </c>
      <c r="M227" s="35" t="s">
        <v>414</v>
      </c>
      <c r="N227">
        <v>2</v>
      </c>
    </row>
    <row r="228" spans="1:15" ht="26.4" x14ac:dyDescent="0.25">
      <c r="A228" s="41" t="s">
        <v>659</v>
      </c>
      <c r="B228" s="42">
        <v>28837107</v>
      </c>
      <c r="C228" s="46">
        <v>6000</v>
      </c>
      <c r="D228" s="36" t="s">
        <v>688</v>
      </c>
      <c r="E228" s="54" t="s">
        <v>661</v>
      </c>
      <c r="F228" s="44" t="s">
        <v>569</v>
      </c>
      <c r="G228" s="36" t="s">
        <v>163</v>
      </c>
      <c r="H228" s="36" t="s">
        <v>163</v>
      </c>
      <c r="I228" s="36" t="s">
        <v>163</v>
      </c>
      <c r="J228" s="35" t="s">
        <v>662</v>
      </c>
      <c r="K228" t="s">
        <v>143</v>
      </c>
      <c r="L228" s="35" t="s">
        <v>141</v>
      </c>
      <c r="M228" s="35" t="s">
        <v>414</v>
      </c>
      <c r="N228">
        <v>5</v>
      </c>
    </row>
    <row r="229" spans="1:15" ht="26.4" x14ac:dyDescent="0.25">
      <c r="A229" s="41" t="s">
        <v>689</v>
      </c>
      <c r="B229" s="42">
        <v>14694046</v>
      </c>
      <c r="C229" s="37">
        <v>1500</v>
      </c>
      <c r="D229" s="36" t="s">
        <v>690</v>
      </c>
      <c r="E229" s="36" t="s">
        <v>680</v>
      </c>
      <c r="F229" s="36" t="s">
        <v>682</v>
      </c>
      <c r="G229" s="36" t="s">
        <v>163</v>
      </c>
      <c r="H229" s="36" t="s">
        <v>163</v>
      </c>
      <c r="I229" s="36" t="s">
        <v>163</v>
      </c>
      <c r="J229" s="35" t="s">
        <v>691</v>
      </c>
      <c r="K229" s="35" t="s">
        <v>143</v>
      </c>
      <c r="L229" s="35" t="s">
        <v>141</v>
      </c>
      <c r="M229" s="35" t="s">
        <v>313</v>
      </c>
      <c r="N229">
        <v>1</v>
      </c>
    </row>
    <row r="230" spans="1:15" ht="26.4" x14ac:dyDescent="0.25">
      <c r="A230" s="41" t="s">
        <v>692</v>
      </c>
      <c r="B230" s="42">
        <v>31414060</v>
      </c>
      <c r="C230" s="46">
        <v>3000</v>
      </c>
      <c r="D230" s="43" t="s">
        <v>693</v>
      </c>
      <c r="E230" s="36" t="s">
        <v>694</v>
      </c>
      <c r="F230" s="44" t="s">
        <v>695</v>
      </c>
      <c r="G230" s="36" t="s">
        <v>163</v>
      </c>
      <c r="H230" s="36" t="s">
        <v>163</v>
      </c>
      <c r="I230" s="36" t="s">
        <v>163</v>
      </c>
      <c r="J230" s="35" t="s">
        <v>691</v>
      </c>
      <c r="K230" t="s">
        <v>143</v>
      </c>
      <c r="L230" s="35" t="s">
        <v>199</v>
      </c>
      <c r="M230" s="35" t="s">
        <v>414</v>
      </c>
      <c r="N230">
        <v>1</v>
      </c>
    </row>
    <row r="231" spans="1:15" ht="26.4" x14ac:dyDescent="0.25">
      <c r="A231" s="41" t="s">
        <v>696</v>
      </c>
      <c r="B231" s="42">
        <v>24532617</v>
      </c>
      <c r="C231" s="46">
        <v>1200</v>
      </c>
      <c r="D231" s="43" t="s">
        <v>697</v>
      </c>
      <c r="E231" s="44" t="s">
        <v>593</v>
      </c>
      <c r="F231" s="54" t="s">
        <v>569</v>
      </c>
      <c r="G231" s="36" t="s">
        <v>163</v>
      </c>
      <c r="H231" s="36" t="s">
        <v>163</v>
      </c>
      <c r="I231" s="36" t="s">
        <v>163</v>
      </c>
      <c r="J231" s="35" t="s">
        <v>235</v>
      </c>
      <c r="K231">
        <v>158</v>
      </c>
      <c r="L231" s="35" t="s">
        <v>141</v>
      </c>
      <c r="M231" s="35" t="s">
        <v>414</v>
      </c>
      <c r="N231">
        <v>8</v>
      </c>
      <c r="O231" s="57">
        <v>41780</v>
      </c>
    </row>
    <row r="232" spans="1:15" ht="26.4" x14ac:dyDescent="0.25">
      <c r="A232" s="34" t="s">
        <v>633</v>
      </c>
      <c r="B232" s="18">
        <v>35636202</v>
      </c>
      <c r="C232" s="37">
        <v>6500</v>
      </c>
      <c r="D232" s="36" t="s">
        <v>698</v>
      </c>
      <c r="E232" s="36" t="s">
        <v>699</v>
      </c>
      <c r="F232" s="36" t="s">
        <v>700</v>
      </c>
      <c r="G232" s="36" t="s">
        <v>163</v>
      </c>
      <c r="H232" s="36" t="s">
        <v>163</v>
      </c>
      <c r="I232" s="36" t="s">
        <v>163</v>
      </c>
      <c r="J232" s="35" t="s">
        <v>227</v>
      </c>
      <c r="K232" s="35">
        <v>130</v>
      </c>
      <c r="L232" s="35" t="s">
        <v>194</v>
      </c>
      <c r="M232" s="35" t="s">
        <v>313</v>
      </c>
      <c r="N232">
        <v>1</v>
      </c>
    </row>
    <row r="233" spans="1:15" ht="26.4" x14ac:dyDescent="0.25">
      <c r="A233" s="34" t="s">
        <v>701</v>
      </c>
      <c r="B233" s="18">
        <v>18260242</v>
      </c>
      <c r="C233" s="37">
        <v>8000</v>
      </c>
      <c r="D233" s="36" t="s">
        <v>702</v>
      </c>
      <c r="E233" s="36" t="s">
        <v>699</v>
      </c>
      <c r="F233" s="36" t="s">
        <v>700</v>
      </c>
      <c r="G233" s="36" t="s">
        <v>163</v>
      </c>
      <c r="H233" s="36" t="s">
        <v>163</v>
      </c>
      <c r="I233" s="36" t="s">
        <v>163</v>
      </c>
      <c r="J233" s="35" t="s">
        <v>703</v>
      </c>
      <c r="K233" s="35" t="s">
        <v>285</v>
      </c>
      <c r="L233" s="35" t="s">
        <v>704</v>
      </c>
      <c r="M233" s="35" t="s">
        <v>705</v>
      </c>
      <c r="N233">
        <v>1</v>
      </c>
    </row>
    <row r="234" spans="1:15" ht="26.4" x14ac:dyDescent="0.25">
      <c r="A234" s="34" t="s">
        <v>605</v>
      </c>
      <c r="B234" s="18">
        <v>16361072</v>
      </c>
      <c r="C234" s="37">
        <v>10600</v>
      </c>
      <c r="D234" s="36" t="s">
        <v>706</v>
      </c>
      <c r="E234" s="36" t="s">
        <v>699</v>
      </c>
      <c r="F234" s="36" t="s">
        <v>700</v>
      </c>
      <c r="G234" s="36" t="s">
        <v>163</v>
      </c>
      <c r="H234" s="36" t="s">
        <v>163</v>
      </c>
      <c r="I234" s="36" t="s">
        <v>163</v>
      </c>
      <c r="J234" s="35" t="s">
        <v>208</v>
      </c>
      <c r="K234" s="35">
        <v>199</v>
      </c>
      <c r="L234" s="35" t="s">
        <v>141</v>
      </c>
      <c r="M234" s="35" t="s">
        <v>313</v>
      </c>
      <c r="N234">
        <v>1</v>
      </c>
    </row>
    <row r="235" spans="1:15" ht="26.4" x14ac:dyDescent="0.25">
      <c r="A235" s="34" t="s">
        <v>707</v>
      </c>
      <c r="B235" s="18">
        <v>22140777</v>
      </c>
      <c r="C235" s="46">
        <v>3500</v>
      </c>
      <c r="D235" s="36" t="s">
        <v>708</v>
      </c>
      <c r="E235" s="36" t="s">
        <v>699</v>
      </c>
      <c r="F235" s="36" t="s">
        <v>700</v>
      </c>
      <c r="G235" s="36" t="s">
        <v>163</v>
      </c>
      <c r="H235" s="36" t="s">
        <v>163</v>
      </c>
      <c r="I235" s="36" t="s">
        <v>163</v>
      </c>
      <c r="J235" s="43" t="s">
        <v>709</v>
      </c>
      <c r="K235" s="35">
        <v>130</v>
      </c>
      <c r="L235" s="43" t="s">
        <v>204</v>
      </c>
      <c r="M235" s="43" t="s">
        <v>204</v>
      </c>
      <c r="N235">
        <v>1</v>
      </c>
    </row>
    <row r="236" spans="1:15" ht="26.4" x14ac:dyDescent="0.25">
      <c r="A236" s="34" t="s">
        <v>710</v>
      </c>
      <c r="B236" s="18">
        <v>26354308</v>
      </c>
      <c r="C236" s="46">
        <v>2500</v>
      </c>
      <c r="D236" s="36" t="s">
        <v>711</v>
      </c>
      <c r="E236" s="36" t="s">
        <v>699</v>
      </c>
      <c r="F236" s="36" t="s">
        <v>700</v>
      </c>
      <c r="G236" s="36" t="s">
        <v>163</v>
      </c>
      <c r="H236" s="36" t="s">
        <v>163</v>
      </c>
      <c r="I236" s="36" t="s">
        <v>163</v>
      </c>
      <c r="J236" s="43" t="s">
        <v>418</v>
      </c>
      <c r="K236" s="35" t="s">
        <v>285</v>
      </c>
      <c r="L236" s="43" t="s">
        <v>141</v>
      </c>
      <c r="M236" s="43" t="s">
        <v>188</v>
      </c>
      <c r="N236">
        <v>1</v>
      </c>
    </row>
    <row r="237" spans="1:15" ht="26.4" x14ac:dyDescent="0.25">
      <c r="A237" s="41" t="s">
        <v>653</v>
      </c>
      <c r="B237" s="42">
        <v>38179365</v>
      </c>
      <c r="C237" s="46">
        <v>1950</v>
      </c>
      <c r="D237" s="43" t="s">
        <v>712</v>
      </c>
      <c r="E237" s="54" t="s">
        <v>661</v>
      </c>
      <c r="F237" s="44" t="s">
        <v>646</v>
      </c>
      <c r="G237" s="36" t="s">
        <v>163</v>
      </c>
      <c r="H237" s="36" t="s">
        <v>163</v>
      </c>
      <c r="I237" s="36" t="s">
        <v>163</v>
      </c>
      <c r="J237" s="35" t="s">
        <v>623</v>
      </c>
      <c r="K237" t="s">
        <v>143</v>
      </c>
      <c r="L237" s="35" t="s">
        <v>141</v>
      </c>
      <c r="M237" s="35" t="s">
        <v>188</v>
      </c>
      <c r="N237">
        <v>22</v>
      </c>
    </row>
    <row r="238" spans="1:15" ht="26.4" x14ac:dyDescent="0.25">
      <c r="A238" s="41" t="s">
        <v>539</v>
      </c>
      <c r="B238" s="42">
        <v>18595248</v>
      </c>
      <c r="C238" s="46">
        <f>210*25</f>
        <v>5250</v>
      </c>
      <c r="D238" s="36" t="s">
        <v>713</v>
      </c>
      <c r="E238" s="36" t="s">
        <v>538</v>
      </c>
      <c r="F238" s="44" t="s">
        <v>536</v>
      </c>
      <c r="G238" s="36" t="s">
        <v>163</v>
      </c>
      <c r="H238" s="36" t="s">
        <v>163</v>
      </c>
      <c r="I238" s="36" t="s">
        <v>163</v>
      </c>
      <c r="J238" s="35" t="s">
        <v>540</v>
      </c>
      <c r="K238" t="s">
        <v>143</v>
      </c>
      <c r="L238" t="s">
        <v>141</v>
      </c>
      <c r="M238" s="35" t="s">
        <v>414</v>
      </c>
      <c r="N238">
        <v>28</v>
      </c>
    </row>
    <row r="239" spans="1:15" ht="26.4" x14ac:dyDescent="0.25">
      <c r="A239" s="41" t="s">
        <v>535</v>
      </c>
      <c r="B239" s="42">
        <v>36917675</v>
      </c>
      <c r="C239" s="46">
        <f>210*25</f>
        <v>5250</v>
      </c>
      <c r="D239" s="36" t="s">
        <v>713</v>
      </c>
      <c r="E239" s="36" t="s">
        <v>538</v>
      </c>
      <c r="F239" s="44" t="s">
        <v>536</v>
      </c>
      <c r="G239" s="36" t="s">
        <v>163</v>
      </c>
      <c r="H239" s="36" t="s">
        <v>163</v>
      </c>
      <c r="I239" s="36" t="s">
        <v>163</v>
      </c>
      <c r="J239" s="35" t="s">
        <v>232</v>
      </c>
      <c r="K239">
        <v>428</v>
      </c>
      <c r="L239" t="s">
        <v>141</v>
      </c>
      <c r="M239" s="35" t="s">
        <v>414</v>
      </c>
      <c r="N239">
        <v>28</v>
      </c>
    </row>
    <row r="240" spans="1:15" ht="26.4" x14ac:dyDescent="0.25">
      <c r="A240" s="34" t="s">
        <v>100</v>
      </c>
      <c r="B240" s="18">
        <v>24939938</v>
      </c>
      <c r="C240" s="46">
        <f>210*25</f>
        <v>5250</v>
      </c>
      <c r="D240" s="36" t="s">
        <v>713</v>
      </c>
      <c r="E240" s="36" t="s">
        <v>608</v>
      </c>
      <c r="F240" s="36" t="s">
        <v>613</v>
      </c>
      <c r="G240" s="36" t="s">
        <v>163</v>
      </c>
      <c r="H240" s="36" t="s">
        <v>163</v>
      </c>
      <c r="I240" s="36" t="s">
        <v>163</v>
      </c>
      <c r="J240" s="35" t="s">
        <v>358</v>
      </c>
      <c r="K240" s="35" t="s">
        <v>143</v>
      </c>
      <c r="L240" t="s">
        <v>141</v>
      </c>
      <c r="M240" s="35" t="s">
        <v>158</v>
      </c>
      <c r="N240">
        <v>28</v>
      </c>
    </row>
    <row r="241" spans="1:14" ht="26.4" x14ac:dyDescent="0.25">
      <c r="A241" s="41" t="s">
        <v>610</v>
      </c>
      <c r="B241" s="42">
        <v>36795634</v>
      </c>
      <c r="C241" s="46">
        <f>5000+10*25</f>
        <v>5250</v>
      </c>
      <c r="D241" s="43" t="s">
        <v>611</v>
      </c>
      <c r="E241" s="36" t="s">
        <v>608</v>
      </c>
      <c r="F241" s="36" t="s">
        <v>613</v>
      </c>
      <c r="G241" s="36" t="s">
        <v>163</v>
      </c>
      <c r="H241" s="36" t="s">
        <v>163</v>
      </c>
      <c r="I241" s="36" t="s">
        <v>163</v>
      </c>
      <c r="J241" s="35" t="s">
        <v>612</v>
      </c>
      <c r="K241">
        <v>428</v>
      </c>
      <c r="L241" s="35" t="s">
        <v>141</v>
      </c>
      <c r="M241" s="35" t="s">
        <v>414</v>
      </c>
      <c r="N241">
        <v>28</v>
      </c>
    </row>
    <row r="242" spans="1:14" ht="26.4" x14ac:dyDescent="0.25">
      <c r="A242" s="41" t="s">
        <v>102</v>
      </c>
      <c r="B242" s="42">
        <v>36986968</v>
      </c>
      <c r="C242" s="46">
        <f>167*25</f>
        <v>4175</v>
      </c>
      <c r="D242" s="36" t="s">
        <v>714</v>
      </c>
      <c r="E242" s="36" t="s">
        <v>538</v>
      </c>
      <c r="F242" s="44" t="s">
        <v>536</v>
      </c>
      <c r="G242" s="36" t="s">
        <v>163</v>
      </c>
      <c r="H242" s="36" t="s">
        <v>163</v>
      </c>
      <c r="I242" s="36" t="s">
        <v>163</v>
      </c>
      <c r="J242" s="35" t="s">
        <v>549</v>
      </c>
      <c r="K242" t="s">
        <v>143</v>
      </c>
      <c r="L242" t="s">
        <v>550</v>
      </c>
      <c r="M242" s="35" t="s">
        <v>414</v>
      </c>
      <c r="N242">
        <v>22</v>
      </c>
    </row>
    <row r="243" spans="1:14" ht="26.4" x14ac:dyDescent="0.25">
      <c r="A243" s="34" t="s">
        <v>436</v>
      </c>
      <c r="B243" s="18">
        <v>16099622</v>
      </c>
      <c r="C243" s="37">
        <v>5000</v>
      </c>
      <c r="D243" s="36" t="s">
        <v>614</v>
      </c>
      <c r="E243" s="44" t="s">
        <v>593</v>
      </c>
      <c r="F243" s="36" t="s">
        <v>615</v>
      </c>
      <c r="G243" s="36" t="s">
        <v>163</v>
      </c>
      <c r="H243" s="36" t="s">
        <v>163</v>
      </c>
      <c r="I243" s="36" t="s">
        <v>163</v>
      </c>
      <c r="J243" s="35" t="s">
        <v>157</v>
      </c>
      <c r="K243" s="35" t="s">
        <v>143</v>
      </c>
      <c r="L243" t="s">
        <v>141</v>
      </c>
      <c r="M243" s="35" t="s">
        <v>158</v>
      </c>
      <c r="N243">
        <v>28</v>
      </c>
    </row>
    <row r="244" spans="1:14" ht="26.4" x14ac:dyDescent="0.25">
      <c r="A244" s="41" t="s">
        <v>541</v>
      </c>
      <c r="B244" s="42">
        <v>24221323</v>
      </c>
      <c r="C244" s="46">
        <f>77*25</f>
        <v>1925</v>
      </c>
      <c r="D244" s="36" t="s">
        <v>715</v>
      </c>
      <c r="E244" s="36" t="s">
        <v>538</v>
      </c>
      <c r="F244" s="44" t="s">
        <v>536</v>
      </c>
      <c r="G244" s="36" t="s">
        <v>163</v>
      </c>
      <c r="H244" s="36" t="s">
        <v>163</v>
      </c>
      <c r="I244" s="36" t="s">
        <v>163</v>
      </c>
      <c r="J244" s="35" t="s">
        <v>542</v>
      </c>
      <c r="K244">
        <v>420</v>
      </c>
      <c r="L244" t="s">
        <v>141</v>
      </c>
      <c r="M244" s="35" t="s">
        <v>414</v>
      </c>
      <c r="N244">
        <v>10</v>
      </c>
    </row>
    <row r="245" spans="1:14" ht="14.4" customHeight="1" x14ac:dyDescent="0.25">
      <c r="A245" s="41" t="s">
        <v>562</v>
      </c>
      <c r="B245" s="42">
        <v>36154751</v>
      </c>
      <c r="C245" s="46">
        <f>171*25</f>
        <v>4275</v>
      </c>
      <c r="D245" s="36" t="s">
        <v>716</v>
      </c>
      <c r="E245" s="36" t="s">
        <v>538</v>
      </c>
      <c r="F245" s="44" t="s">
        <v>536</v>
      </c>
      <c r="G245" s="36" t="s">
        <v>163</v>
      </c>
      <c r="H245" s="36" t="s">
        <v>163</v>
      </c>
      <c r="I245" s="36" t="s">
        <v>163</v>
      </c>
      <c r="J245" s="35" t="s">
        <v>584</v>
      </c>
      <c r="K245" t="s">
        <v>143</v>
      </c>
      <c r="L245" s="35" t="s">
        <v>585</v>
      </c>
      <c r="M245" s="35" t="s">
        <v>414</v>
      </c>
      <c r="N245">
        <v>23</v>
      </c>
    </row>
    <row r="246" spans="1:14" ht="15.6" customHeight="1" x14ac:dyDescent="0.25">
      <c r="A246" s="34" t="s">
        <v>717</v>
      </c>
      <c r="B246" s="18">
        <v>41088732</v>
      </c>
      <c r="C246" s="46">
        <f>91*25</f>
        <v>2275</v>
      </c>
      <c r="D246" s="36" t="s">
        <v>718</v>
      </c>
      <c r="E246" s="36" t="s">
        <v>608</v>
      </c>
      <c r="F246" s="36" t="s">
        <v>613</v>
      </c>
      <c r="G246" s="36" t="s">
        <v>163</v>
      </c>
      <c r="H246" s="36" t="s">
        <v>163</v>
      </c>
      <c r="I246" s="36" t="s">
        <v>163</v>
      </c>
      <c r="J246" s="35" t="s">
        <v>358</v>
      </c>
      <c r="K246" s="35" t="s">
        <v>143</v>
      </c>
      <c r="L246" t="s">
        <v>141</v>
      </c>
      <c r="M246" s="35" t="s">
        <v>158</v>
      </c>
      <c r="N246">
        <v>12</v>
      </c>
    </row>
    <row r="247" spans="1:14" ht="14.4" customHeight="1" x14ac:dyDescent="0.25">
      <c r="A247" s="41" t="s">
        <v>719</v>
      </c>
      <c r="B247" s="42">
        <v>30702125</v>
      </c>
      <c r="C247" s="46">
        <v>2500</v>
      </c>
      <c r="D247" s="43" t="s">
        <v>720</v>
      </c>
      <c r="E247" s="44" t="s">
        <v>628</v>
      </c>
      <c r="F247" s="44" t="s">
        <v>646</v>
      </c>
      <c r="G247" s="36" t="s">
        <v>163</v>
      </c>
      <c r="H247" s="36" t="s">
        <v>163</v>
      </c>
      <c r="I247" s="36" t="s">
        <v>163</v>
      </c>
      <c r="J247" s="35" t="s">
        <v>429</v>
      </c>
      <c r="K247">
        <v>479</v>
      </c>
      <c r="L247" t="s">
        <v>141</v>
      </c>
      <c r="M247" s="35" t="s">
        <v>313</v>
      </c>
      <c r="N247">
        <v>5</v>
      </c>
    </row>
    <row r="248" spans="1:14" ht="17.399999999999999" customHeight="1" x14ac:dyDescent="0.25">
      <c r="A248" s="41" t="s">
        <v>721</v>
      </c>
      <c r="B248" s="42">
        <v>37440471</v>
      </c>
      <c r="C248" s="46">
        <v>10000</v>
      </c>
      <c r="D248" s="43" t="s">
        <v>722</v>
      </c>
      <c r="E248" s="36" t="s">
        <v>723</v>
      </c>
      <c r="F248" s="44" t="s">
        <v>569</v>
      </c>
      <c r="G248" s="36" t="s">
        <v>163</v>
      </c>
      <c r="H248" s="36" t="s">
        <v>163</v>
      </c>
      <c r="I248" s="36" t="s">
        <v>163</v>
      </c>
      <c r="J248" s="35" t="s">
        <v>724</v>
      </c>
      <c r="K248" t="s">
        <v>143</v>
      </c>
      <c r="L248" t="s">
        <v>199</v>
      </c>
      <c r="M248" s="35" t="s">
        <v>313</v>
      </c>
      <c r="N248">
        <v>10</v>
      </c>
    </row>
    <row r="249" spans="1:14" ht="16.95" customHeight="1" x14ac:dyDescent="0.25">
      <c r="A249" s="41" t="s">
        <v>725</v>
      </c>
      <c r="B249" s="42">
        <v>30705205</v>
      </c>
      <c r="C249" s="46">
        <v>2300</v>
      </c>
      <c r="D249" s="43" t="s">
        <v>726</v>
      </c>
      <c r="E249" s="44" t="s">
        <v>628</v>
      </c>
      <c r="F249" s="44" t="s">
        <v>569</v>
      </c>
      <c r="G249" s="36" t="s">
        <v>163</v>
      </c>
      <c r="H249" s="36" t="s">
        <v>163</v>
      </c>
      <c r="I249" s="36" t="s">
        <v>163</v>
      </c>
      <c r="J249" s="35" t="s">
        <v>727</v>
      </c>
      <c r="K249" t="s">
        <v>143</v>
      </c>
      <c r="L249" t="s">
        <v>141</v>
      </c>
      <c r="M249" s="35" t="s">
        <v>313</v>
      </c>
      <c r="N249">
        <v>2</v>
      </c>
    </row>
    <row r="250" spans="1:14" ht="17.399999999999999" customHeight="1" x14ac:dyDescent="0.25">
      <c r="A250" s="41" t="s">
        <v>728</v>
      </c>
      <c r="B250" s="42">
        <v>10821561</v>
      </c>
      <c r="C250" s="46">
        <v>2089.62</v>
      </c>
      <c r="D250" s="43" t="s">
        <v>729</v>
      </c>
      <c r="E250" s="36" t="s">
        <v>731</v>
      </c>
      <c r="F250" s="36" t="s">
        <v>730</v>
      </c>
      <c r="G250" s="36" t="s">
        <v>163</v>
      </c>
      <c r="H250" s="36" t="s">
        <v>163</v>
      </c>
      <c r="I250" s="36" t="s">
        <v>163</v>
      </c>
      <c r="J250" s="43" t="s">
        <v>732</v>
      </c>
      <c r="K250">
        <v>359</v>
      </c>
      <c r="L250" s="43" t="s">
        <v>141</v>
      </c>
      <c r="M250" s="43" t="s">
        <v>313</v>
      </c>
      <c r="N250" s="57">
        <v>42369</v>
      </c>
    </row>
    <row r="251" spans="1:14" ht="15.6" customHeight="1" x14ac:dyDescent="0.25">
      <c r="A251" s="34" t="s">
        <v>733</v>
      </c>
      <c r="B251" s="18">
        <v>14821539</v>
      </c>
      <c r="C251" s="37">
        <v>3500</v>
      </c>
      <c r="D251" s="36" t="s">
        <v>734</v>
      </c>
      <c r="E251" s="36" t="s">
        <v>735</v>
      </c>
      <c r="F251" s="36" t="s">
        <v>736</v>
      </c>
      <c r="G251" s="36" t="s">
        <v>163</v>
      </c>
      <c r="H251" s="36" t="s">
        <v>163</v>
      </c>
      <c r="I251" s="36" t="s">
        <v>163</v>
      </c>
      <c r="J251" s="35" t="s">
        <v>506</v>
      </c>
      <c r="K251" s="35">
        <v>44</v>
      </c>
      <c r="L251" s="35" t="s">
        <v>194</v>
      </c>
      <c r="M251" s="35" t="s">
        <v>313</v>
      </c>
      <c r="N251">
        <v>1</v>
      </c>
    </row>
    <row r="252" spans="1:14" ht="13.95" customHeight="1" x14ac:dyDescent="0.25">
      <c r="A252" s="34" t="s">
        <v>341</v>
      </c>
      <c r="B252" s="18">
        <v>12135561</v>
      </c>
      <c r="C252" s="37">
        <v>1800</v>
      </c>
      <c r="D252" s="36" t="s">
        <v>737</v>
      </c>
      <c r="E252" s="36" t="s">
        <v>735</v>
      </c>
      <c r="F252" s="36" t="s">
        <v>736</v>
      </c>
      <c r="G252" s="36" t="s">
        <v>163</v>
      </c>
      <c r="H252" s="36" t="s">
        <v>163</v>
      </c>
      <c r="I252" s="36" t="s">
        <v>163</v>
      </c>
      <c r="J252" s="35" t="s">
        <v>343</v>
      </c>
      <c r="K252" s="35" t="s">
        <v>143</v>
      </c>
      <c r="L252" t="s">
        <v>344</v>
      </c>
      <c r="M252" s="35" t="s">
        <v>313</v>
      </c>
      <c r="N252">
        <v>1</v>
      </c>
    </row>
    <row r="253" spans="1:14" ht="16.95" customHeight="1" x14ac:dyDescent="0.25">
      <c r="A253" s="34" t="s">
        <v>738</v>
      </c>
      <c r="B253" s="18">
        <v>6653466</v>
      </c>
      <c r="C253" s="37">
        <v>5000</v>
      </c>
      <c r="D253" s="36" t="s">
        <v>739</v>
      </c>
      <c r="E253" s="36" t="s">
        <v>735</v>
      </c>
      <c r="F253" s="36" t="s">
        <v>736</v>
      </c>
      <c r="G253" s="36" t="s">
        <v>163</v>
      </c>
      <c r="H253" s="36" t="s">
        <v>163</v>
      </c>
      <c r="I253" s="36" t="s">
        <v>163</v>
      </c>
      <c r="J253" s="35" t="s">
        <v>740</v>
      </c>
      <c r="K253" s="35">
        <v>328</v>
      </c>
      <c r="L253" s="35" t="s">
        <v>409</v>
      </c>
      <c r="M253" s="35" t="s">
        <v>313</v>
      </c>
      <c r="N253">
        <v>1</v>
      </c>
    </row>
    <row r="254" spans="1:14" ht="16.2" customHeight="1" x14ac:dyDescent="0.25">
      <c r="A254" s="34" t="s">
        <v>468</v>
      </c>
      <c r="B254" s="18">
        <v>13984673</v>
      </c>
      <c r="C254" s="37">
        <v>8000</v>
      </c>
      <c r="D254" s="36" t="s">
        <v>469</v>
      </c>
      <c r="E254" s="36" t="s">
        <v>735</v>
      </c>
      <c r="F254" s="36" t="s">
        <v>736</v>
      </c>
      <c r="G254" s="36" t="s">
        <v>163</v>
      </c>
      <c r="H254" s="36" t="s">
        <v>163</v>
      </c>
      <c r="I254" s="36" t="s">
        <v>163</v>
      </c>
      <c r="J254" s="35" t="s">
        <v>471</v>
      </c>
      <c r="K254" s="35">
        <v>1743</v>
      </c>
      <c r="L254" s="35" t="s">
        <v>269</v>
      </c>
      <c r="M254" s="35" t="s">
        <v>313</v>
      </c>
      <c r="N254">
        <v>1</v>
      </c>
    </row>
    <row r="255" spans="1:14" ht="15.6" customHeight="1" x14ac:dyDescent="0.25">
      <c r="A255" s="34" t="s">
        <v>605</v>
      </c>
      <c r="B255" s="18">
        <v>16361072</v>
      </c>
      <c r="C255" s="37">
        <v>1500</v>
      </c>
      <c r="D255" s="36" t="s">
        <v>741</v>
      </c>
      <c r="E255" s="36" t="s">
        <v>735</v>
      </c>
      <c r="F255" s="36" t="s">
        <v>736</v>
      </c>
      <c r="G255" s="36" t="s">
        <v>163</v>
      </c>
      <c r="H255" s="36" t="s">
        <v>163</v>
      </c>
      <c r="I255" s="36" t="s">
        <v>163</v>
      </c>
      <c r="J255" s="35" t="s">
        <v>208</v>
      </c>
      <c r="K255" s="35">
        <v>199</v>
      </c>
      <c r="L255" s="35" t="s">
        <v>141</v>
      </c>
      <c r="M255" s="35" t="s">
        <v>313</v>
      </c>
      <c r="N255">
        <v>1</v>
      </c>
    </row>
    <row r="256" spans="1:14" ht="17.399999999999999" customHeight="1" x14ac:dyDescent="0.25">
      <c r="A256" s="34" t="s">
        <v>228</v>
      </c>
      <c r="B256" s="18">
        <v>16684064</v>
      </c>
      <c r="C256" s="37">
        <v>2000</v>
      </c>
      <c r="D256" s="36" t="s">
        <v>229</v>
      </c>
      <c r="E256" s="36" t="s">
        <v>742</v>
      </c>
      <c r="F256" s="36" t="s">
        <v>736</v>
      </c>
      <c r="G256" s="36" t="s">
        <v>163</v>
      </c>
      <c r="H256" s="36" t="s">
        <v>163</v>
      </c>
      <c r="I256" s="36" t="s">
        <v>163</v>
      </c>
      <c r="J256" s="35" t="s">
        <v>232</v>
      </c>
      <c r="K256" s="35">
        <v>973</v>
      </c>
      <c r="L256" s="35" t="s">
        <v>141</v>
      </c>
      <c r="M256" s="35" t="s">
        <v>158</v>
      </c>
      <c r="N256">
        <v>1</v>
      </c>
    </row>
    <row r="257" spans="1:15" ht="14.4" customHeight="1" x14ac:dyDescent="0.25">
      <c r="A257" s="34" t="s">
        <v>743</v>
      </c>
      <c r="B257" s="18">
        <v>12209453</v>
      </c>
      <c r="C257" s="37">
        <v>14000</v>
      </c>
      <c r="D257" s="36" t="s">
        <v>745</v>
      </c>
      <c r="E257" s="36" t="s">
        <v>735</v>
      </c>
      <c r="F257" s="36" t="s">
        <v>736</v>
      </c>
      <c r="G257" s="36" t="s">
        <v>163</v>
      </c>
      <c r="H257" s="36" t="s">
        <v>163</v>
      </c>
      <c r="I257" s="36" t="s">
        <v>163</v>
      </c>
      <c r="J257" s="35" t="s">
        <v>744</v>
      </c>
      <c r="K257" s="35">
        <v>352</v>
      </c>
      <c r="L257" s="35" t="s">
        <v>194</v>
      </c>
      <c r="M257" s="35" t="s">
        <v>158</v>
      </c>
      <c r="N257">
        <v>1</v>
      </c>
    </row>
    <row r="258" spans="1:15" ht="16.2" customHeight="1" x14ac:dyDescent="0.25">
      <c r="A258" s="41" t="s">
        <v>502</v>
      </c>
      <c r="B258" s="42">
        <v>11199679</v>
      </c>
      <c r="C258" s="46">
        <v>4100</v>
      </c>
      <c r="D258" s="36" t="s">
        <v>746</v>
      </c>
      <c r="E258" s="44" t="s">
        <v>747</v>
      </c>
      <c r="F258" s="44" t="s">
        <v>646</v>
      </c>
      <c r="G258" s="36" t="s">
        <v>163</v>
      </c>
      <c r="H258" s="36" t="s">
        <v>163</v>
      </c>
      <c r="I258" s="36" t="s">
        <v>163</v>
      </c>
      <c r="J258" s="35" t="s">
        <v>748</v>
      </c>
      <c r="K258" t="s">
        <v>143</v>
      </c>
      <c r="L258" s="35" t="s">
        <v>141</v>
      </c>
      <c r="M258" s="35" t="s">
        <v>313</v>
      </c>
      <c r="N258">
        <v>28</v>
      </c>
    </row>
    <row r="259" spans="1:15" ht="16.2" customHeight="1" x14ac:dyDescent="0.25">
      <c r="A259" s="41" t="s">
        <v>666</v>
      </c>
      <c r="B259" s="42">
        <v>25918492</v>
      </c>
      <c r="C259" s="46">
        <v>1425</v>
      </c>
      <c r="D259" s="43" t="s">
        <v>746</v>
      </c>
      <c r="E259" s="44" t="s">
        <v>593</v>
      </c>
      <c r="F259" s="44" t="s">
        <v>569</v>
      </c>
      <c r="G259" s="36" t="s">
        <v>163</v>
      </c>
      <c r="H259" s="36" t="s">
        <v>163</v>
      </c>
      <c r="I259" s="36" t="s">
        <v>163</v>
      </c>
      <c r="J259" s="35" t="s">
        <v>749</v>
      </c>
      <c r="K259" t="s">
        <v>143</v>
      </c>
      <c r="L259" s="35" t="s">
        <v>141</v>
      </c>
      <c r="M259" s="35" t="s">
        <v>313</v>
      </c>
      <c r="N259">
        <v>28</v>
      </c>
    </row>
    <row r="260" spans="1:15" ht="17.399999999999999" customHeight="1" x14ac:dyDescent="0.25">
      <c r="A260" s="41" t="s">
        <v>750</v>
      </c>
      <c r="B260" s="42">
        <v>23442305</v>
      </c>
      <c r="C260" s="46">
        <v>5000</v>
      </c>
      <c r="D260" s="43" t="s">
        <v>751</v>
      </c>
      <c r="E260" s="44" t="s">
        <v>593</v>
      </c>
      <c r="F260" s="44" t="s">
        <v>646</v>
      </c>
      <c r="G260" s="36" t="s">
        <v>163</v>
      </c>
      <c r="H260" s="36" t="s">
        <v>163</v>
      </c>
      <c r="I260" s="36" t="s">
        <v>163</v>
      </c>
      <c r="J260" s="35" t="s">
        <v>752</v>
      </c>
      <c r="K260" t="s">
        <v>143</v>
      </c>
      <c r="L260" s="35" t="s">
        <v>141</v>
      </c>
      <c r="M260" s="35" t="s">
        <v>313</v>
      </c>
      <c r="N260">
        <v>10</v>
      </c>
    </row>
    <row r="261" spans="1:15" ht="15" customHeight="1" x14ac:dyDescent="0.25">
      <c r="A261" s="41" t="s">
        <v>753</v>
      </c>
      <c r="B261" s="42">
        <v>34274571</v>
      </c>
      <c r="C261" s="46">
        <v>560</v>
      </c>
      <c r="D261" s="43" t="s">
        <v>754</v>
      </c>
      <c r="E261" s="44" t="s">
        <v>628</v>
      </c>
      <c r="F261" s="44" t="s">
        <v>646</v>
      </c>
      <c r="G261" s="36" t="s">
        <v>163</v>
      </c>
      <c r="H261" s="36" t="s">
        <v>163</v>
      </c>
      <c r="I261" s="36" t="s">
        <v>163</v>
      </c>
      <c r="J261" s="35" t="s">
        <v>755</v>
      </c>
      <c r="K261" t="s">
        <v>143</v>
      </c>
      <c r="L261" s="35" t="s">
        <v>141</v>
      </c>
      <c r="M261" s="35" t="s">
        <v>313</v>
      </c>
      <c r="N261">
        <v>50</v>
      </c>
    </row>
    <row r="262" spans="1:15" ht="17.399999999999999" customHeight="1" x14ac:dyDescent="0.25">
      <c r="A262" s="41" t="s">
        <v>756</v>
      </c>
      <c r="B262" s="42">
        <v>23379548</v>
      </c>
      <c r="C262" s="46">
        <v>2100</v>
      </c>
      <c r="D262" s="43" t="s">
        <v>761</v>
      </c>
      <c r="E262" s="36" t="s">
        <v>762</v>
      </c>
      <c r="F262" s="44" t="s">
        <v>646</v>
      </c>
      <c r="G262" s="36" t="s">
        <v>163</v>
      </c>
      <c r="H262" s="36" t="s">
        <v>163</v>
      </c>
      <c r="I262" s="36" t="s">
        <v>163</v>
      </c>
      <c r="J262" s="35" t="s">
        <v>691</v>
      </c>
      <c r="K262" t="s">
        <v>143</v>
      </c>
      <c r="L262" s="35" t="s">
        <v>141</v>
      </c>
      <c r="M262" s="35" t="s">
        <v>313</v>
      </c>
      <c r="N262">
        <v>10</v>
      </c>
    </row>
    <row r="263" spans="1:15" ht="15.6" customHeight="1" x14ac:dyDescent="0.25">
      <c r="A263" s="41" t="s">
        <v>757</v>
      </c>
      <c r="B263" s="42">
        <v>37320359</v>
      </c>
      <c r="C263" s="46">
        <v>2100</v>
      </c>
      <c r="D263" s="43" t="s">
        <v>763</v>
      </c>
      <c r="E263" s="36" t="s">
        <v>764</v>
      </c>
      <c r="F263" s="44" t="s">
        <v>646</v>
      </c>
      <c r="G263" s="36" t="s">
        <v>163</v>
      </c>
      <c r="H263" s="36" t="s">
        <v>163</v>
      </c>
      <c r="I263" s="36" t="s">
        <v>163</v>
      </c>
      <c r="J263" s="35" t="s">
        <v>235</v>
      </c>
      <c r="K263" t="s">
        <v>143</v>
      </c>
      <c r="L263" s="35" t="s">
        <v>141</v>
      </c>
      <c r="M263" s="35" t="s">
        <v>313</v>
      </c>
      <c r="N263">
        <v>10</v>
      </c>
    </row>
    <row r="264" spans="1:15" ht="13.95" customHeight="1" x14ac:dyDescent="0.25">
      <c r="A264" s="41" t="s">
        <v>590</v>
      </c>
      <c r="B264" s="42">
        <v>16548857</v>
      </c>
      <c r="C264" s="46">
        <v>2100</v>
      </c>
      <c r="D264" s="43" t="s">
        <v>765</v>
      </c>
      <c r="E264" s="36" t="s">
        <v>764</v>
      </c>
      <c r="F264" s="44" t="s">
        <v>646</v>
      </c>
      <c r="G264" s="36" t="s">
        <v>163</v>
      </c>
      <c r="H264" s="36" t="s">
        <v>163</v>
      </c>
      <c r="I264" s="36" t="s">
        <v>163</v>
      </c>
      <c r="J264" s="35" t="s">
        <v>208</v>
      </c>
      <c r="K264" t="s">
        <v>143</v>
      </c>
      <c r="L264" s="35" t="s">
        <v>141</v>
      </c>
      <c r="M264" s="35" t="s">
        <v>313</v>
      </c>
      <c r="N264">
        <v>10</v>
      </c>
    </row>
    <row r="265" spans="1:15" ht="13.95" customHeight="1" x14ac:dyDescent="0.25">
      <c r="A265" s="41" t="s">
        <v>758</v>
      </c>
      <c r="B265" s="42">
        <v>31230172</v>
      </c>
      <c r="C265" s="46">
        <v>7150</v>
      </c>
      <c r="D265" s="43" t="s">
        <v>759</v>
      </c>
      <c r="E265" s="44" t="s">
        <v>661</v>
      </c>
      <c r="F265" s="44" t="s">
        <v>646</v>
      </c>
      <c r="G265" s="36" t="s">
        <v>163</v>
      </c>
      <c r="H265" s="36" t="s">
        <v>163</v>
      </c>
      <c r="I265" s="36" t="s">
        <v>163</v>
      </c>
      <c r="J265" s="35" t="s">
        <v>760</v>
      </c>
      <c r="K265" t="s">
        <v>143</v>
      </c>
      <c r="L265" s="35" t="s">
        <v>378</v>
      </c>
      <c r="M265" s="35" t="s">
        <v>313</v>
      </c>
      <c r="N265">
        <v>15</v>
      </c>
    </row>
    <row r="266" spans="1:15" ht="26.4" x14ac:dyDescent="0.25">
      <c r="A266" s="41" t="s">
        <v>766</v>
      </c>
      <c r="B266" s="42">
        <v>28837186</v>
      </c>
      <c r="C266" s="46">
        <v>2500</v>
      </c>
      <c r="D266" s="36" t="s">
        <v>767</v>
      </c>
      <c r="E266" s="36" t="s">
        <v>768</v>
      </c>
      <c r="F266" s="36" t="s">
        <v>736</v>
      </c>
      <c r="G266" s="36" t="s">
        <v>163</v>
      </c>
      <c r="H266" s="36" t="s">
        <v>163</v>
      </c>
      <c r="I266" s="36" t="s">
        <v>163</v>
      </c>
      <c r="J266" s="43" t="s">
        <v>769</v>
      </c>
      <c r="K266">
        <v>1031</v>
      </c>
      <c r="L266" s="43" t="s">
        <v>194</v>
      </c>
      <c r="M266" s="43" t="s">
        <v>313</v>
      </c>
      <c r="N266">
        <v>1</v>
      </c>
    </row>
    <row r="267" spans="1:15" ht="26.4" x14ac:dyDescent="0.25">
      <c r="A267" s="41" t="s">
        <v>770</v>
      </c>
      <c r="B267" s="42">
        <v>12810879</v>
      </c>
      <c r="C267" s="46">
        <v>45000</v>
      </c>
      <c r="D267" s="36" t="s">
        <v>771</v>
      </c>
      <c r="E267" s="36" t="s">
        <v>768</v>
      </c>
      <c r="F267" s="36" t="s">
        <v>736</v>
      </c>
      <c r="G267" s="36" t="s">
        <v>163</v>
      </c>
      <c r="H267" s="36" t="s">
        <v>163</v>
      </c>
      <c r="I267" s="36" t="s">
        <v>163</v>
      </c>
      <c r="J267" s="43" t="s">
        <v>772</v>
      </c>
      <c r="K267">
        <v>2870</v>
      </c>
      <c r="L267" s="43" t="s">
        <v>269</v>
      </c>
      <c r="M267" s="43" t="s">
        <v>313</v>
      </c>
      <c r="N267">
        <v>1</v>
      </c>
    </row>
    <row r="268" spans="1:15" ht="13.95" customHeight="1" x14ac:dyDescent="0.25">
      <c r="A268" s="41" t="s">
        <v>543</v>
      </c>
      <c r="B268" s="42">
        <v>20888915</v>
      </c>
      <c r="C268" s="46">
        <v>450</v>
      </c>
      <c r="D268" s="36" t="s">
        <v>773</v>
      </c>
      <c r="E268" s="44" t="s">
        <v>593</v>
      </c>
      <c r="F268" s="44" t="s">
        <v>646</v>
      </c>
      <c r="G268" s="36" t="s">
        <v>163</v>
      </c>
      <c r="H268" s="36" t="s">
        <v>163</v>
      </c>
      <c r="I268" s="36" t="s">
        <v>163</v>
      </c>
      <c r="J268" s="35" t="s">
        <v>727</v>
      </c>
      <c r="K268" t="s">
        <v>143</v>
      </c>
      <c r="L268" s="35" t="s">
        <v>141</v>
      </c>
      <c r="M268" s="35" t="s">
        <v>313</v>
      </c>
      <c r="N268">
        <v>1</v>
      </c>
    </row>
    <row r="269" spans="1:15" ht="13.95" customHeight="1" x14ac:dyDescent="0.25">
      <c r="A269" s="41" t="s">
        <v>1406</v>
      </c>
      <c r="B269" s="42">
        <v>18566398</v>
      </c>
      <c r="C269" s="46">
        <v>60000</v>
      </c>
      <c r="D269" s="36" t="s">
        <v>774</v>
      </c>
      <c r="E269" s="44" t="s">
        <v>593</v>
      </c>
      <c r="F269" s="44" t="s">
        <v>569</v>
      </c>
      <c r="G269" s="36" t="s">
        <v>163</v>
      </c>
      <c r="H269" s="36" t="s">
        <v>163</v>
      </c>
      <c r="I269" s="36" t="s">
        <v>163</v>
      </c>
      <c r="J269" s="43" t="s">
        <v>627</v>
      </c>
      <c r="K269">
        <v>196</v>
      </c>
      <c r="L269" s="43" t="s">
        <v>141</v>
      </c>
      <c r="M269" s="43" t="s">
        <v>313</v>
      </c>
      <c r="N269">
        <v>20</v>
      </c>
    </row>
    <row r="270" spans="1:15" ht="13.2" customHeight="1" x14ac:dyDescent="0.25">
      <c r="A270" s="41" t="s">
        <v>750</v>
      </c>
      <c r="B270" s="42">
        <v>23442305</v>
      </c>
      <c r="C270" s="46">
        <v>3500</v>
      </c>
      <c r="D270" s="36" t="s">
        <v>775</v>
      </c>
      <c r="E270" s="44" t="s">
        <v>593</v>
      </c>
      <c r="F270" s="44" t="s">
        <v>569</v>
      </c>
      <c r="G270" s="36" t="s">
        <v>163</v>
      </c>
      <c r="H270" s="36" t="s">
        <v>163</v>
      </c>
      <c r="I270" s="36" t="s">
        <v>163</v>
      </c>
      <c r="J270" s="43" t="s">
        <v>691</v>
      </c>
      <c r="K270" t="s">
        <v>143</v>
      </c>
      <c r="L270" s="43" t="s">
        <v>141</v>
      </c>
      <c r="M270" s="43" t="s">
        <v>313</v>
      </c>
      <c r="N270">
        <v>5</v>
      </c>
    </row>
    <row r="271" spans="1:15" ht="15" customHeight="1" x14ac:dyDescent="0.25">
      <c r="A271" s="41" t="s">
        <v>195</v>
      </c>
      <c r="B271" s="42">
        <v>33017391</v>
      </c>
      <c r="C271" s="46">
        <v>900</v>
      </c>
      <c r="D271" s="36" t="s">
        <v>780</v>
      </c>
      <c r="E271" s="44" t="s">
        <v>593</v>
      </c>
      <c r="F271" s="44" t="s">
        <v>569</v>
      </c>
      <c r="G271" s="36" t="s">
        <v>163</v>
      </c>
      <c r="H271" s="36" t="s">
        <v>163</v>
      </c>
      <c r="I271" s="36" t="s">
        <v>163</v>
      </c>
      <c r="J271" s="43" t="s">
        <v>781</v>
      </c>
      <c r="K271" t="s">
        <v>143</v>
      </c>
      <c r="L271" s="43" t="s">
        <v>782</v>
      </c>
      <c r="M271" s="43" t="s">
        <v>313</v>
      </c>
      <c r="N271">
        <v>20</v>
      </c>
    </row>
    <row r="272" spans="1:15" ht="15" customHeight="1" x14ac:dyDescent="0.25">
      <c r="A272" s="41" t="s">
        <v>776</v>
      </c>
      <c r="B272" s="42">
        <v>12763695</v>
      </c>
      <c r="C272" s="46">
        <v>6600</v>
      </c>
      <c r="D272" s="36" t="s">
        <v>778</v>
      </c>
      <c r="E272" s="36" t="s">
        <v>779</v>
      </c>
      <c r="F272" s="44" t="s">
        <v>777</v>
      </c>
      <c r="G272" s="36" t="s">
        <v>163</v>
      </c>
      <c r="H272" s="36" t="s">
        <v>163</v>
      </c>
      <c r="I272" s="36" t="s">
        <v>163</v>
      </c>
      <c r="J272" s="43" t="s">
        <v>668</v>
      </c>
      <c r="K272">
        <v>665</v>
      </c>
      <c r="L272" s="43" t="s">
        <v>141</v>
      </c>
      <c r="M272" s="43" t="s">
        <v>313</v>
      </c>
      <c r="N272">
        <v>20</v>
      </c>
      <c r="O272" s="57">
        <v>42072</v>
      </c>
    </row>
    <row r="273" spans="1:15" ht="15" customHeight="1" x14ac:dyDescent="0.25">
      <c r="A273" s="41" t="s">
        <v>785</v>
      </c>
      <c r="B273" s="42">
        <v>23379548</v>
      </c>
      <c r="C273" s="46">
        <v>2100</v>
      </c>
      <c r="D273" s="36" t="s">
        <v>787</v>
      </c>
      <c r="E273" s="44" t="s">
        <v>593</v>
      </c>
      <c r="F273" s="44" t="s">
        <v>569</v>
      </c>
      <c r="G273" s="36" t="s">
        <v>163</v>
      </c>
      <c r="H273" s="36" t="s">
        <v>163</v>
      </c>
      <c r="I273" s="36" t="s">
        <v>163</v>
      </c>
      <c r="J273" s="43" t="s">
        <v>208</v>
      </c>
      <c r="K273" t="s">
        <v>143</v>
      </c>
      <c r="L273" s="43" t="s">
        <v>141</v>
      </c>
      <c r="M273" s="43" t="s">
        <v>313</v>
      </c>
      <c r="N273">
        <v>10</v>
      </c>
      <c r="O273" s="57">
        <v>42072</v>
      </c>
    </row>
    <row r="274" spans="1:15" ht="13.95" customHeight="1" x14ac:dyDescent="0.25">
      <c r="A274" s="41" t="s">
        <v>590</v>
      </c>
      <c r="B274" s="42">
        <v>16548857</v>
      </c>
      <c r="C274" s="46">
        <v>2100</v>
      </c>
      <c r="D274" s="36" t="s">
        <v>786</v>
      </c>
      <c r="E274" s="44" t="s">
        <v>593</v>
      </c>
      <c r="F274" s="44" t="s">
        <v>569</v>
      </c>
      <c r="G274" s="36" t="s">
        <v>163</v>
      </c>
      <c r="H274" s="36" t="s">
        <v>163</v>
      </c>
      <c r="I274" s="36" t="s">
        <v>163</v>
      </c>
      <c r="J274" s="43" t="s">
        <v>208</v>
      </c>
      <c r="K274" t="s">
        <v>143</v>
      </c>
      <c r="L274" s="43" t="s">
        <v>141</v>
      </c>
      <c r="M274" s="43" t="s">
        <v>313</v>
      </c>
      <c r="N274">
        <v>10</v>
      </c>
      <c r="O274" s="57">
        <v>42072</v>
      </c>
    </row>
    <row r="275" spans="1:15" ht="14.4" customHeight="1" x14ac:dyDescent="0.25">
      <c r="A275" s="41" t="s">
        <v>757</v>
      </c>
      <c r="B275" s="42">
        <v>37320359</v>
      </c>
      <c r="C275" s="46">
        <v>2100</v>
      </c>
      <c r="D275" s="36" t="s">
        <v>788</v>
      </c>
      <c r="E275" s="44" t="s">
        <v>593</v>
      </c>
      <c r="F275" s="44" t="s">
        <v>569</v>
      </c>
      <c r="G275" s="36" t="s">
        <v>163</v>
      </c>
      <c r="H275" s="36" t="s">
        <v>163</v>
      </c>
      <c r="I275" s="36" t="s">
        <v>163</v>
      </c>
      <c r="J275" s="43" t="s">
        <v>235</v>
      </c>
      <c r="K275" t="s">
        <v>143</v>
      </c>
      <c r="L275" s="43" t="s">
        <v>141</v>
      </c>
      <c r="M275" s="43" t="s">
        <v>313</v>
      </c>
      <c r="N275">
        <v>10</v>
      </c>
      <c r="O275" s="57">
        <v>42072</v>
      </c>
    </row>
    <row r="276" spans="1:15" ht="14.4" customHeight="1" x14ac:dyDescent="0.25">
      <c r="A276" s="41" t="s">
        <v>758</v>
      </c>
      <c r="B276" s="42">
        <v>31230172</v>
      </c>
      <c r="C276" s="46">
        <v>5850</v>
      </c>
      <c r="D276" s="36" t="s">
        <v>789</v>
      </c>
      <c r="E276" s="44" t="s">
        <v>628</v>
      </c>
      <c r="F276" s="44" t="s">
        <v>569</v>
      </c>
      <c r="G276" s="36" t="s">
        <v>163</v>
      </c>
      <c r="H276" s="36" t="s">
        <v>163</v>
      </c>
      <c r="I276" s="36" t="s">
        <v>163</v>
      </c>
      <c r="J276" s="43" t="s">
        <v>760</v>
      </c>
      <c r="K276" t="s">
        <v>143</v>
      </c>
      <c r="L276" s="43" t="s">
        <v>378</v>
      </c>
      <c r="M276" s="43" t="s">
        <v>313</v>
      </c>
      <c r="N276">
        <v>9</v>
      </c>
      <c r="O276" s="57">
        <v>42065</v>
      </c>
    </row>
    <row r="277" spans="1:15" ht="14.4" customHeight="1" x14ac:dyDescent="0.25">
      <c r="A277" s="41" t="s">
        <v>565</v>
      </c>
      <c r="B277" s="42">
        <v>12397514</v>
      </c>
      <c r="C277" s="46">
        <v>2000</v>
      </c>
      <c r="D277" s="36" t="s">
        <v>790</v>
      </c>
      <c r="E277" s="44" t="s">
        <v>593</v>
      </c>
      <c r="F277" s="44" t="s">
        <v>569</v>
      </c>
      <c r="G277" s="36" t="s">
        <v>163</v>
      </c>
      <c r="H277" s="36" t="s">
        <v>163</v>
      </c>
      <c r="I277" s="36" t="s">
        <v>163</v>
      </c>
      <c r="J277" s="43" t="s">
        <v>566</v>
      </c>
      <c r="K277">
        <v>92</v>
      </c>
      <c r="L277" s="43" t="s">
        <v>141</v>
      </c>
      <c r="M277" s="43" t="s">
        <v>313</v>
      </c>
      <c r="N277">
        <v>10</v>
      </c>
      <c r="O277" s="57">
        <v>42072</v>
      </c>
    </row>
    <row r="278" spans="1:15" ht="13.95" customHeight="1" x14ac:dyDescent="0.25">
      <c r="A278" s="41" t="s">
        <v>791</v>
      </c>
      <c r="B278" s="42">
        <v>29888477</v>
      </c>
      <c r="C278" s="46">
        <v>5300</v>
      </c>
      <c r="D278" s="36" t="s">
        <v>792</v>
      </c>
      <c r="E278" s="44" t="s">
        <v>572</v>
      </c>
      <c r="F278" s="44" t="s">
        <v>569</v>
      </c>
      <c r="G278" s="36" t="s">
        <v>163</v>
      </c>
      <c r="H278" s="36" t="s">
        <v>163</v>
      </c>
      <c r="I278" s="36" t="s">
        <v>163</v>
      </c>
      <c r="J278" s="43" t="s">
        <v>752</v>
      </c>
      <c r="K278" t="s">
        <v>143</v>
      </c>
      <c r="L278" s="43" t="s">
        <v>141</v>
      </c>
      <c r="M278" s="43" t="s">
        <v>313</v>
      </c>
      <c r="N278">
        <v>5</v>
      </c>
      <c r="O278" s="57">
        <v>42079</v>
      </c>
    </row>
    <row r="279" spans="1:15" ht="12.6" customHeight="1" x14ac:dyDescent="0.25">
      <c r="A279" s="41" t="s">
        <v>793</v>
      </c>
      <c r="B279" s="42">
        <v>14086010</v>
      </c>
      <c r="C279" s="46">
        <v>2420</v>
      </c>
      <c r="D279" s="36" t="s">
        <v>795</v>
      </c>
      <c r="E279" s="44" t="s">
        <v>628</v>
      </c>
      <c r="F279" s="44" t="s">
        <v>646</v>
      </c>
      <c r="G279" s="36" t="s">
        <v>163</v>
      </c>
      <c r="H279" s="36" t="s">
        <v>163</v>
      </c>
      <c r="I279" s="36" t="s">
        <v>163</v>
      </c>
      <c r="J279" s="43" t="s">
        <v>794</v>
      </c>
      <c r="K279">
        <v>264</v>
      </c>
      <c r="L279" s="43" t="s">
        <v>194</v>
      </c>
      <c r="M279" s="43" t="s">
        <v>313</v>
      </c>
      <c r="N279">
        <v>7</v>
      </c>
      <c r="O279" s="57">
        <v>42079</v>
      </c>
    </row>
    <row r="280" spans="1:15" ht="15.6" customHeight="1" x14ac:dyDescent="0.25">
      <c r="A280" s="41" t="s">
        <v>796</v>
      </c>
      <c r="B280" s="42">
        <v>18644221</v>
      </c>
      <c r="C280" s="46">
        <v>5000</v>
      </c>
      <c r="D280" s="36" t="s">
        <v>797</v>
      </c>
      <c r="E280" s="36" t="s">
        <v>798</v>
      </c>
      <c r="F280" s="44" t="s">
        <v>569</v>
      </c>
      <c r="G280" s="36" t="s">
        <v>163</v>
      </c>
      <c r="H280" s="36" t="s">
        <v>163</v>
      </c>
      <c r="I280" s="36" t="s">
        <v>163</v>
      </c>
      <c r="J280" s="43" t="s">
        <v>429</v>
      </c>
      <c r="K280">
        <v>325</v>
      </c>
      <c r="L280" s="43" t="s">
        <v>141</v>
      </c>
      <c r="M280" s="43" t="s">
        <v>313</v>
      </c>
      <c r="N280">
        <v>14</v>
      </c>
      <c r="O280" s="57">
        <v>42079</v>
      </c>
    </row>
    <row r="281" spans="1:15" ht="12.6" customHeight="1" x14ac:dyDescent="0.25">
      <c r="A281" s="41" t="s">
        <v>750</v>
      </c>
      <c r="B281" s="42">
        <v>23442305</v>
      </c>
      <c r="C281" s="46">
        <v>2000</v>
      </c>
      <c r="D281" s="36" t="s">
        <v>799</v>
      </c>
      <c r="E281" s="44" t="s">
        <v>593</v>
      </c>
      <c r="F281" s="44" t="s">
        <v>569</v>
      </c>
      <c r="G281" s="36" t="s">
        <v>163</v>
      </c>
      <c r="H281" s="36" t="s">
        <v>163</v>
      </c>
      <c r="I281" s="36" t="s">
        <v>163</v>
      </c>
      <c r="J281" s="43" t="s">
        <v>691</v>
      </c>
      <c r="K281" t="s">
        <v>143</v>
      </c>
      <c r="L281" s="43" t="s">
        <v>141</v>
      </c>
      <c r="M281" s="43" t="s">
        <v>313</v>
      </c>
      <c r="N281">
        <v>5</v>
      </c>
      <c r="O281" s="57">
        <v>42084</v>
      </c>
    </row>
    <row r="282" spans="1:15" ht="13.95" customHeight="1" x14ac:dyDescent="0.25">
      <c r="A282" s="41" t="s">
        <v>653</v>
      </c>
      <c r="B282" s="42">
        <v>38179365</v>
      </c>
      <c r="C282" s="46">
        <v>650</v>
      </c>
      <c r="D282" s="36" t="s">
        <v>800</v>
      </c>
      <c r="E282" s="44" t="s">
        <v>593</v>
      </c>
      <c r="F282" s="44" t="s">
        <v>569</v>
      </c>
      <c r="G282" s="36" t="s">
        <v>163</v>
      </c>
      <c r="H282" s="36" t="s">
        <v>163</v>
      </c>
      <c r="I282" s="36" t="s">
        <v>163</v>
      </c>
      <c r="J282" s="43" t="s">
        <v>623</v>
      </c>
      <c r="K282">
        <v>191</v>
      </c>
      <c r="L282" s="43" t="s">
        <v>141</v>
      </c>
      <c r="M282" s="43" t="s">
        <v>313</v>
      </c>
      <c r="N282">
        <v>8</v>
      </c>
      <c r="O282" s="57">
        <v>42083</v>
      </c>
    </row>
    <row r="283" spans="1:15" ht="12.6" customHeight="1" x14ac:dyDescent="0.25">
      <c r="A283" s="41" t="s">
        <v>502</v>
      </c>
      <c r="B283" s="42">
        <v>11199679</v>
      </c>
      <c r="C283" s="46">
        <v>1500</v>
      </c>
      <c r="D283" s="36" t="s">
        <v>801</v>
      </c>
      <c r="E283" s="44" t="s">
        <v>593</v>
      </c>
      <c r="F283" s="44" t="s">
        <v>569</v>
      </c>
      <c r="G283" s="36" t="s">
        <v>163</v>
      </c>
      <c r="H283" s="36" t="s">
        <v>163</v>
      </c>
      <c r="I283" s="36" t="s">
        <v>163</v>
      </c>
      <c r="J283" s="43" t="s">
        <v>748</v>
      </c>
      <c r="K283" t="s">
        <v>143</v>
      </c>
      <c r="L283" s="43" t="s">
        <v>141</v>
      </c>
      <c r="M283" s="43" t="s">
        <v>313</v>
      </c>
      <c r="N283">
        <v>30</v>
      </c>
      <c r="O283" s="57">
        <v>42064</v>
      </c>
    </row>
    <row r="284" spans="1:15" ht="13.95" customHeight="1" x14ac:dyDescent="0.25">
      <c r="A284" s="41" t="s">
        <v>805</v>
      </c>
      <c r="B284" s="42">
        <v>17816910</v>
      </c>
      <c r="C284" s="46">
        <v>4500</v>
      </c>
      <c r="D284" s="36" t="s">
        <v>803</v>
      </c>
      <c r="E284" s="36" t="s">
        <v>804</v>
      </c>
      <c r="F284" s="44" t="s">
        <v>569</v>
      </c>
      <c r="G284" s="36" t="s">
        <v>163</v>
      </c>
      <c r="H284" s="36" t="s">
        <v>163</v>
      </c>
      <c r="I284" s="36" t="s">
        <v>163</v>
      </c>
      <c r="J284" s="43" t="s">
        <v>664</v>
      </c>
      <c r="K284">
        <v>64</v>
      </c>
      <c r="L284" s="43" t="s">
        <v>802</v>
      </c>
      <c r="M284" s="43" t="s">
        <v>313</v>
      </c>
      <c r="N284">
        <v>7</v>
      </c>
      <c r="O284" s="57">
        <v>42083</v>
      </c>
    </row>
    <row r="285" spans="1:15" ht="13.2" customHeight="1" x14ac:dyDescent="0.25">
      <c r="A285" s="41" t="s">
        <v>806</v>
      </c>
      <c r="B285" s="42">
        <v>7798113</v>
      </c>
      <c r="C285" s="46">
        <v>520</v>
      </c>
      <c r="D285" s="36" t="s">
        <v>807</v>
      </c>
      <c r="E285" s="44" t="s">
        <v>593</v>
      </c>
      <c r="F285" s="44" t="s">
        <v>569</v>
      </c>
      <c r="G285" s="36" t="s">
        <v>163</v>
      </c>
      <c r="H285" s="36" t="s">
        <v>163</v>
      </c>
      <c r="I285" s="36" t="s">
        <v>163</v>
      </c>
      <c r="J285" s="43" t="s">
        <v>573</v>
      </c>
      <c r="K285">
        <v>525</v>
      </c>
      <c r="L285" s="43" t="s">
        <v>194</v>
      </c>
      <c r="M285" s="43" t="s">
        <v>313</v>
      </c>
      <c r="N285">
        <v>7</v>
      </c>
      <c r="O285" s="57">
        <v>42083</v>
      </c>
    </row>
    <row r="286" spans="1:15" ht="14.4" customHeight="1" x14ac:dyDescent="0.25">
      <c r="A286" s="41" t="s">
        <v>565</v>
      </c>
      <c r="B286" s="42">
        <v>12397514</v>
      </c>
      <c r="C286" s="46">
        <v>5000</v>
      </c>
      <c r="D286" s="36" t="s">
        <v>809</v>
      </c>
      <c r="E286" s="36" t="s">
        <v>808</v>
      </c>
      <c r="F286" s="44" t="s">
        <v>569</v>
      </c>
      <c r="G286" s="36" t="s">
        <v>163</v>
      </c>
      <c r="H286" s="36" t="s">
        <v>163</v>
      </c>
      <c r="I286" s="36" t="s">
        <v>163</v>
      </c>
      <c r="J286" s="43" t="s">
        <v>566</v>
      </c>
      <c r="K286">
        <v>92</v>
      </c>
      <c r="L286" s="43" t="s">
        <v>141</v>
      </c>
      <c r="M286" s="43" t="s">
        <v>313</v>
      </c>
      <c r="N286">
        <v>5</v>
      </c>
      <c r="O286" s="57">
        <v>42072</v>
      </c>
    </row>
    <row r="287" spans="1:15" ht="13.95" customHeight="1" x14ac:dyDescent="0.25">
      <c r="A287" s="41" t="s">
        <v>565</v>
      </c>
      <c r="B287" s="42">
        <v>12397514</v>
      </c>
      <c r="C287" s="46">
        <v>1200</v>
      </c>
      <c r="D287" s="36" t="s">
        <v>810</v>
      </c>
      <c r="E287" s="44" t="s">
        <v>593</v>
      </c>
      <c r="F287" s="44" t="s">
        <v>569</v>
      </c>
      <c r="G287" s="36" t="s">
        <v>163</v>
      </c>
      <c r="H287" s="36" t="s">
        <v>163</v>
      </c>
      <c r="I287" s="36" t="s">
        <v>163</v>
      </c>
      <c r="J287" s="43" t="s">
        <v>566</v>
      </c>
      <c r="K287">
        <v>92</v>
      </c>
      <c r="L287" s="43" t="s">
        <v>141</v>
      </c>
      <c r="M287" s="43" t="s">
        <v>313</v>
      </c>
      <c r="N287">
        <v>5</v>
      </c>
      <c r="O287" s="57">
        <v>42065</v>
      </c>
    </row>
    <row r="288" spans="1:15" ht="15" customHeight="1" x14ac:dyDescent="0.25">
      <c r="A288" s="41" t="s">
        <v>565</v>
      </c>
      <c r="B288" s="42">
        <v>12397514</v>
      </c>
      <c r="C288" s="46">
        <v>500</v>
      </c>
      <c r="D288" s="36" t="s">
        <v>811</v>
      </c>
      <c r="E288" s="44" t="s">
        <v>593</v>
      </c>
      <c r="F288" s="44" t="s">
        <v>569</v>
      </c>
      <c r="G288" s="36" t="s">
        <v>163</v>
      </c>
      <c r="H288" s="36" t="s">
        <v>163</v>
      </c>
      <c r="I288" s="36" t="s">
        <v>163</v>
      </c>
      <c r="J288" s="43" t="s">
        <v>566</v>
      </c>
      <c r="K288">
        <v>92</v>
      </c>
      <c r="L288" s="43" t="s">
        <v>141</v>
      </c>
      <c r="M288" s="43" t="s">
        <v>313</v>
      </c>
      <c r="N288">
        <v>5</v>
      </c>
      <c r="O288" s="57">
        <v>42065</v>
      </c>
    </row>
    <row r="289" spans="1:15" ht="13.95" customHeight="1" x14ac:dyDescent="0.25">
      <c r="A289" s="41" t="s">
        <v>812</v>
      </c>
      <c r="B289" s="42">
        <v>38161679</v>
      </c>
      <c r="C289" s="46">
        <v>500</v>
      </c>
      <c r="D289" s="36" t="s">
        <v>712</v>
      </c>
      <c r="E289" s="44" t="s">
        <v>593</v>
      </c>
      <c r="F289" s="44" t="s">
        <v>569</v>
      </c>
      <c r="G289" s="36" t="s">
        <v>163</v>
      </c>
      <c r="H289" s="36" t="s">
        <v>163</v>
      </c>
      <c r="I289" s="36" t="s">
        <v>163</v>
      </c>
      <c r="J289" s="43" t="s">
        <v>542</v>
      </c>
      <c r="K289">
        <v>293</v>
      </c>
      <c r="L289" s="43" t="s">
        <v>141</v>
      </c>
      <c r="M289" s="43" t="s">
        <v>313</v>
      </c>
      <c r="N289">
        <v>3</v>
      </c>
      <c r="O289" s="57">
        <v>42064</v>
      </c>
    </row>
    <row r="290" spans="1:15" ht="13.95" customHeight="1" x14ac:dyDescent="0.25">
      <c r="A290" s="41" t="s">
        <v>813</v>
      </c>
      <c r="B290" s="42">
        <v>30301691</v>
      </c>
      <c r="C290" s="46">
        <v>6000</v>
      </c>
      <c r="D290" s="36" t="s">
        <v>814</v>
      </c>
      <c r="E290" s="44" t="s">
        <v>593</v>
      </c>
      <c r="F290" s="44" t="s">
        <v>536</v>
      </c>
      <c r="G290" s="36" t="s">
        <v>163</v>
      </c>
      <c r="H290" s="36" t="s">
        <v>163</v>
      </c>
      <c r="I290" s="36" t="s">
        <v>163</v>
      </c>
      <c r="J290" s="43" t="s">
        <v>815</v>
      </c>
      <c r="K290" t="s">
        <v>143</v>
      </c>
      <c r="L290" s="43" t="s">
        <v>419</v>
      </c>
      <c r="M290" s="43" t="s">
        <v>313</v>
      </c>
      <c r="N290">
        <v>30</v>
      </c>
      <c r="O290" s="57">
        <v>42093</v>
      </c>
    </row>
    <row r="291" spans="1:15" ht="13.2" customHeight="1" x14ac:dyDescent="0.25">
      <c r="A291" s="41" t="s">
        <v>816</v>
      </c>
      <c r="B291" s="42">
        <v>6698968</v>
      </c>
      <c r="C291" s="46">
        <v>400</v>
      </c>
      <c r="D291" s="36" t="s">
        <v>817</v>
      </c>
      <c r="E291" s="36" t="s">
        <v>819</v>
      </c>
      <c r="F291" s="36" t="s">
        <v>820</v>
      </c>
      <c r="G291" s="36" t="s">
        <v>163</v>
      </c>
      <c r="H291" s="36" t="s">
        <v>163</v>
      </c>
      <c r="I291" s="36" t="s">
        <v>163</v>
      </c>
      <c r="J291" s="43" t="s">
        <v>818</v>
      </c>
      <c r="K291" s="43" t="s">
        <v>285</v>
      </c>
      <c r="L291" s="43" t="s">
        <v>802</v>
      </c>
      <c r="M291" s="43" t="s">
        <v>313</v>
      </c>
      <c r="N291">
        <v>20</v>
      </c>
      <c r="O291" s="57">
        <v>42079</v>
      </c>
    </row>
    <row r="292" spans="1:15" ht="12.6" customHeight="1" x14ac:dyDescent="0.25">
      <c r="A292" s="41" t="s">
        <v>823</v>
      </c>
      <c r="B292" s="42">
        <v>13821921</v>
      </c>
      <c r="C292" s="46">
        <v>4000</v>
      </c>
      <c r="D292" s="36" t="s">
        <v>821</v>
      </c>
      <c r="E292" s="36" t="s">
        <v>822</v>
      </c>
      <c r="F292" s="44" t="s">
        <v>628</v>
      </c>
      <c r="G292" s="36" t="s">
        <v>163</v>
      </c>
      <c r="H292" s="36" t="s">
        <v>163</v>
      </c>
      <c r="I292" s="36" t="s">
        <v>163</v>
      </c>
      <c r="J292" s="43" t="s">
        <v>268</v>
      </c>
      <c r="K292">
        <v>841</v>
      </c>
      <c r="L292" s="43" t="s">
        <v>269</v>
      </c>
      <c r="M292" s="43" t="s">
        <v>313</v>
      </c>
      <c r="N292">
        <v>1</v>
      </c>
      <c r="O292" s="57">
        <v>42141</v>
      </c>
    </row>
    <row r="293" spans="1:15" ht="16.2" customHeight="1" x14ac:dyDescent="0.25">
      <c r="A293" s="41" t="s">
        <v>195</v>
      </c>
      <c r="B293" s="42">
        <v>33017391</v>
      </c>
      <c r="C293" s="46">
        <v>1200</v>
      </c>
      <c r="D293" s="36" t="s">
        <v>824</v>
      </c>
      <c r="E293" s="44" t="s">
        <v>593</v>
      </c>
      <c r="F293" s="44" t="s">
        <v>569</v>
      </c>
      <c r="G293" s="36" t="s">
        <v>163</v>
      </c>
      <c r="H293" s="36" t="s">
        <v>163</v>
      </c>
      <c r="I293" s="36" t="s">
        <v>163</v>
      </c>
      <c r="J293" s="43" t="s">
        <v>781</v>
      </c>
      <c r="K293" t="s">
        <v>143</v>
      </c>
      <c r="L293" s="43" t="s">
        <v>782</v>
      </c>
      <c r="M293" s="43" t="s">
        <v>313</v>
      </c>
      <c r="N293">
        <v>7</v>
      </c>
      <c r="O293" s="57">
        <v>42136</v>
      </c>
    </row>
    <row r="294" spans="1:15" ht="15.6" customHeight="1" x14ac:dyDescent="0.25">
      <c r="A294" s="34" t="s">
        <v>341</v>
      </c>
      <c r="B294" s="18">
        <v>12135561</v>
      </c>
      <c r="C294" s="37">
        <v>1800</v>
      </c>
      <c r="D294" s="36" t="s">
        <v>825</v>
      </c>
      <c r="E294" s="36" t="s">
        <v>826</v>
      </c>
      <c r="F294" s="44" t="s">
        <v>329</v>
      </c>
      <c r="G294" s="36" t="s">
        <v>163</v>
      </c>
      <c r="H294" s="36" t="s">
        <v>163</v>
      </c>
      <c r="I294" s="36" t="s">
        <v>163</v>
      </c>
      <c r="J294" s="35" t="s">
        <v>343</v>
      </c>
      <c r="K294" s="35" t="s">
        <v>143</v>
      </c>
      <c r="L294" t="s">
        <v>344</v>
      </c>
      <c r="M294" s="35" t="s">
        <v>313</v>
      </c>
      <c r="N294">
        <v>1</v>
      </c>
      <c r="O294" s="57">
        <v>42136</v>
      </c>
    </row>
    <row r="295" spans="1:15" ht="13.2" customHeight="1" x14ac:dyDescent="0.25">
      <c r="A295" s="41" t="s">
        <v>827</v>
      </c>
      <c r="B295" s="42">
        <v>5533170</v>
      </c>
      <c r="C295" s="46">
        <v>750</v>
      </c>
      <c r="D295" s="43" t="s">
        <v>828</v>
      </c>
      <c r="E295" s="44" t="s">
        <v>593</v>
      </c>
      <c r="F295" s="44" t="s">
        <v>569</v>
      </c>
      <c r="G295" s="36" t="s">
        <v>163</v>
      </c>
      <c r="H295" s="36" t="s">
        <v>163</v>
      </c>
      <c r="I295" s="36" t="s">
        <v>163</v>
      </c>
      <c r="J295" s="43" t="s">
        <v>620</v>
      </c>
      <c r="K295" s="35" t="s">
        <v>143</v>
      </c>
      <c r="L295" s="43" t="s">
        <v>141</v>
      </c>
      <c r="M295" s="43" t="s">
        <v>313</v>
      </c>
      <c r="N295">
        <v>10</v>
      </c>
      <c r="O295" s="57">
        <v>42138</v>
      </c>
    </row>
    <row r="296" spans="1:15" ht="16.95" customHeight="1" x14ac:dyDescent="0.25">
      <c r="A296" s="41" t="s">
        <v>829</v>
      </c>
      <c r="B296" s="42">
        <v>16038043</v>
      </c>
      <c r="C296" s="46">
        <v>12000</v>
      </c>
      <c r="D296" s="43" t="s">
        <v>831</v>
      </c>
      <c r="E296" s="44" t="s">
        <v>593</v>
      </c>
      <c r="F296" s="44" t="s">
        <v>569</v>
      </c>
      <c r="G296" s="36" t="s">
        <v>163</v>
      </c>
      <c r="H296" s="36" t="s">
        <v>163</v>
      </c>
      <c r="I296" s="36" t="s">
        <v>163</v>
      </c>
      <c r="J296" s="43" t="s">
        <v>830</v>
      </c>
      <c r="K296">
        <v>681</v>
      </c>
      <c r="L296" s="43" t="s">
        <v>298</v>
      </c>
      <c r="M296" s="43" t="s">
        <v>204</v>
      </c>
      <c r="N296">
        <v>4</v>
      </c>
      <c r="O296" s="57">
        <v>42146</v>
      </c>
    </row>
    <row r="297" spans="1:15" ht="15" customHeight="1" x14ac:dyDescent="0.25">
      <c r="A297" s="41" t="s">
        <v>565</v>
      </c>
      <c r="B297" s="42">
        <v>12397514</v>
      </c>
      <c r="C297" s="46">
        <v>450</v>
      </c>
      <c r="D297" s="36" t="s">
        <v>832</v>
      </c>
      <c r="E297" s="44" t="s">
        <v>593</v>
      </c>
      <c r="F297" s="44" t="s">
        <v>569</v>
      </c>
      <c r="G297" s="36" t="s">
        <v>163</v>
      </c>
      <c r="H297" s="36" t="s">
        <v>163</v>
      </c>
      <c r="I297" s="36" t="s">
        <v>163</v>
      </c>
      <c r="J297" s="43" t="s">
        <v>566</v>
      </c>
      <c r="K297">
        <v>92</v>
      </c>
      <c r="L297" s="43" t="s">
        <v>141</v>
      </c>
      <c r="M297" s="43" t="s">
        <v>313</v>
      </c>
      <c r="N297">
        <v>2</v>
      </c>
      <c r="O297" s="57">
        <v>42139</v>
      </c>
    </row>
    <row r="298" spans="1:15" ht="13.2" customHeight="1" x14ac:dyDescent="0.25">
      <c r="A298" s="41" t="s">
        <v>827</v>
      </c>
      <c r="B298" s="42">
        <v>5533170</v>
      </c>
      <c r="C298" s="46">
        <v>700</v>
      </c>
      <c r="D298" s="43" t="s">
        <v>833</v>
      </c>
      <c r="E298" s="44" t="s">
        <v>593</v>
      </c>
      <c r="F298" s="44" t="s">
        <v>569</v>
      </c>
      <c r="G298" s="36" t="s">
        <v>163</v>
      </c>
      <c r="H298" s="36" t="s">
        <v>163</v>
      </c>
      <c r="I298" s="36" t="s">
        <v>163</v>
      </c>
      <c r="J298" s="43" t="s">
        <v>620</v>
      </c>
      <c r="K298" s="35" t="s">
        <v>143</v>
      </c>
      <c r="L298" s="43" t="s">
        <v>141</v>
      </c>
      <c r="M298" s="43" t="s">
        <v>313</v>
      </c>
      <c r="N298">
        <v>1</v>
      </c>
      <c r="O298" s="57">
        <v>42150</v>
      </c>
    </row>
    <row r="299" spans="1:15" ht="26.4" x14ac:dyDescent="0.25">
      <c r="A299" s="41" t="s">
        <v>834</v>
      </c>
      <c r="B299" s="42">
        <v>24922515</v>
      </c>
      <c r="C299" s="46">
        <v>1500</v>
      </c>
      <c r="D299" s="43" t="s">
        <v>835</v>
      </c>
      <c r="E299" s="44" t="s">
        <v>593</v>
      </c>
      <c r="F299" s="44" t="s">
        <v>569</v>
      </c>
      <c r="G299" s="36" t="s">
        <v>163</v>
      </c>
      <c r="H299" s="36" t="s">
        <v>163</v>
      </c>
      <c r="I299" s="36" t="s">
        <v>163</v>
      </c>
      <c r="J299" s="43" t="s">
        <v>781</v>
      </c>
      <c r="K299" s="35" t="s">
        <v>143</v>
      </c>
      <c r="L299" s="43" t="s">
        <v>199</v>
      </c>
      <c r="M299" s="43" t="s">
        <v>313</v>
      </c>
      <c r="N299">
        <v>1</v>
      </c>
      <c r="O299" s="57">
        <v>42153</v>
      </c>
    </row>
    <row r="300" spans="1:15" ht="26.4" x14ac:dyDescent="0.25">
      <c r="A300" s="41" t="s">
        <v>796</v>
      </c>
      <c r="B300" s="63">
        <v>18644221</v>
      </c>
      <c r="C300" s="46">
        <v>15000</v>
      </c>
      <c r="D300" s="43" t="s">
        <v>836</v>
      </c>
      <c r="E300" s="36" t="s">
        <v>837</v>
      </c>
      <c r="F300" s="44" t="s">
        <v>569</v>
      </c>
      <c r="G300" s="36" t="s">
        <v>163</v>
      </c>
      <c r="H300" s="36" t="s">
        <v>163</v>
      </c>
      <c r="I300" s="36" t="s">
        <v>163</v>
      </c>
      <c r="J300" s="43" t="s">
        <v>818</v>
      </c>
      <c r="K300">
        <v>52</v>
      </c>
      <c r="L300" s="43" t="s">
        <v>141</v>
      </c>
      <c r="M300" s="43" t="s">
        <v>313</v>
      </c>
      <c r="N300">
        <v>15</v>
      </c>
      <c r="O300" s="57">
        <v>42150</v>
      </c>
    </row>
    <row r="301" spans="1:15" ht="26.4" x14ac:dyDescent="0.25">
      <c r="A301" s="41" t="s">
        <v>591</v>
      </c>
      <c r="B301" s="42">
        <v>11</v>
      </c>
      <c r="C301" s="46">
        <v>3900</v>
      </c>
      <c r="D301" s="43" t="s">
        <v>838</v>
      </c>
      <c r="E301" s="44" t="s">
        <v>593</v>
      </c>
      <c r="F301" s="44" t="s">
        <v>569</v>
      </c>
      <c r="G301" s="36" t="s">
        <v>163</v>
      </c>
      <c r="H301" s="36" t="s">
        <v>163</v>
      </c>
      <c r="I301" s="36" t="s">
        <v>163</v>
      </c>
      <c r="J301" s="43" t="s">
        <v>612</v>
      </c>
      <c r="K301">
        <v>820</v>
      </c>
      <c r="L301" s="43" t="s">
        <v>141</v>
      </c>
      <c r="M301" s="43" t="s">
        <v>313</v>
      </c>
      <c r="N301">
        <v>2</v>
      </c>
      <c r="O301" s="57">
        <v>42151</v>
      </c>
    </row>
    <row r="302" spans="1:15" ht="26.4" x14ac:dyDescent="0.25">
      <c r="A302" s="41" t="s">
        <v>502</v>
      </c>
      <c r="B302" s="42">
        <v>11199679</v>
      </c>
      <c r="C302" s="46">
        <v>1850</v>
      </c>
      <c r="D302" s="43" t="s">
        <v>841</v>
      </c>
      <c r="E302" s="44" t="s">
        <v>593</v>
      </c>
      <c r="F302" s="44" t="s">
        <v>569</v>
      </c>
      <c r="G302" s="36" t="s">
        <v>163</v>
      </c>
      <c r="H302" s="36" t="s">
        <v>163</v>
      </c>
      <c r="I302" s="36" t="s">
        <v>163</v>
      </c>
      <c r="J302" s="43" t="s">
        <v>748</v>
      </c>
      <c r="K302" s="35" t="s">
        <v>143</v>
      </c>
      <c r="L302" s="43" t="s">
        <v>141</v>
      </c>
      <c r="M302" s="43" t="s">
        <v>313</v>
      </c>
      <c r="N302">
        <v>30</v>
      </c>
      <c r="O302" s="57">
        <v>42124</v>
      </c>
    </row>
    <row r="303" spans="1:15" ht="26.4" x14ac:dyDescent="0.25">
      <c r="A303" s="41" t="s">
        <v>666</v>
      </c>
      <c r="B303" s="42">
        <v>25918492</v>
      </c>
      <c r="C303" s="46">
        <v>1225</v>
      </c>
      <c r="D303" s="43" t="s">
        <v>843</v>
      </c>
      <c r="E303" s="44" t="s">
        <v>593</v>
      </c>
      <c r="F303" s="44" t="s">
        <v>569</v>
      </c>
      <c r="G303" s="36" t="s">
        <v>163</v>
      </c>
      <c r="H303" s="36" t="s">
        <v>163</v>
      </c>
      <c r="I303" s="36" t="s">
        <v>163</v>
      </c>
      <c r="J303" s="43" t="s">
        <v>749</v>
      </c>
      <c r="K303" s="35" t="s">
        <v>143</v>
      </c>
      <c r="L303" s="43" t="s">
        <v>141</v>
      </c>
      <c r="M303" s="43" t="s">
        <v>313</v>
      </c>
      <c r="N303">
        <v>30</v>
      </c>
      <c r="O303" s="57">
        <v>42124</v>
      </c>
    </row>
    <row r="304" spans="1:15" ht="26.4" x14ac:dyDescent="0.25">
      <c r="A304" s="41" t="s">
        <v>565</v>
      </c>
      <c r="B304" s="42">
        <v>12397514</v>
      </c>
      <c r="C304" s="60">
        <v>450</v>
      </c>
      <c r="D304" s="43" t="s">
        <v>839</v>
      </c>
      <c r="E304" s="44" t="s">
        <v>593</v>
      </c>
      <c r="F304" s="44" t="s">
        <v>569</v>
      </c>
      <c r="G304" s="36" t="s">
        <v>163</v>
      </c>
      <c r="H304" s="36" t="s">
        <v>163</v>
      </c>
      <c r="I304" s="36" t="s">
        <v>163</v>
      </c>
      <c r="J304" s="43" t="s">
        <v>566</v>
      </c>
      <c r="K304">
        <v>92</v>
      </c>
      <c r="L304" s="43" t="s">
        <v>141</v>
      </c>
      <c r="M304" s="43" t="s">
        <v>313</v>
      </c>
      <c r="N304">
        <v>3</v>
      </c>
      <c r="O304" s="57">
        <v>42150</v>
      </c>
    </row>
    <row r="305" spans="1:15" ht="26.4" x14ac:dyDescent="0.25">
      <c r="A305" s="41" t="s">
        <v>565</v>
      </c>
      <c r="B305" s="42">
        <v>12397514</v>
      </c>
      <c r="C305" s="46">
        <v>450</v>
      </c>
      <c r="D305" s="43" t="s">
        <v>840</v>
      </c>
      <c r="E305" s="44" t="s">
        <v>593</v>
      </c>
      <c r="F305" s="44" t="s">
        <v>569</v>
      </c>
      <c r="G305" s="36" t="s">
        <v>163</v>
      </c>
      <c r="H305" s="36" t="s">
        <v>163</v>
      </c>
      <c r="I305" s="36" t="s">
        <v>163</v>
      </c>
      <c r="J305" s="43" t="s">
        <v>566</v>
      </c>
      <c r="K305">
        <v>92</v>
      </c>
      <c r="L305" s="43" t="s">
        <v>141</v>
      </c>
      <c r="M305" s="43" t="s">
        <v>313</v>
      </c>
      <c r="N305">
        <v>2</v>
      </c>
      <c r="O305" s="57">
        <v>42153</v>
      </c>
    </row>
    <row r="306" spans="1:15" ht="26.4" x14ac:dyDescent="0.25">
      <c r="A306" s="41" t="s">
        <v>827</v>
      </c>
      <c r="B306" s="42">
        <v>5533170</v>
      </c>
      <c r="C306" s="46">
        <v>1100</v>
      </c>
      <c r="D306" s="43" t="s">
        <v>842</v>
      </c>
      <c r="E306" s="44" t="s">
        <v>593</v>
      </c>
      <c r="F306" s="44" t="s">
        <v>569</v>
      </c>
      <c r="G306" s="36" t="s">
        <v>163</v>
      </c>
      <c r="H306" s="36" t="s">
        <v>163</v>
      </c>
      <c r="I306" s="36" t="s">
        <v>163</v>
      </c>
      <c r="J306" s="43" t="s">
        <v>691</v>
      </c>
      <c r="K306" s="35" t="s">
        <v>285</v>
      </c>
      <c r="L306" s="43" t="s">
        <v>141</v>
      </c>
      <c r="M306" s="43" t="s">
        <v>313</v>
      </c>
      <c r="N306">
        <v>3</v>
      </c>
      <c r="O306" s="57">
        <v>42150</v>
      </c>
    </row>
    <row r="307" spans="1:15" ht="26.4" x14ac:dyDescent="0.25">
      <c r="A307" s="41" t="s">
        <v>844</v>
      </c>
      <c r="B307" s="42">
        <v>8074726</v>
      </c>
      <c r="C307" s="46">
        <v>4420</v>
      </c>
      <c r="D307" s="43" t="s">
        <v>845</v>
      </c>
      <c r="E307" s="36" t="s">
        <v>846</v>
      </c>
      <c r="F307" s="44" t="s">
        <v>569</v>
      </c>
      <c r="G307" s="36" t="s">
        <v>163</v>
      </c>
      <c r="H307" s="36" t="s">
        <v>163</v>
      </c>
      <c r="I307" s="36" t="s">
        <v>163</v>
      </c>
      <c r="J307" s="43" t="s">
        <v>691</v>
      </c>
      <c r="K307" s="43" t="s">
        <v>285</v>
      </c>
      <c r="L307" s="43" t="s">
        <v>141</v>
      </c>
      <c r="M307" s="43" t="s">
        <v>313</v>
      </c>
      <c r="N307">
        <v>3</v>
      </c>
      <c r="O307" s="57">
        <v>42150</v>
      </c>
    </row>
    <row r="308" spans="1:15" ht="26.4" x14ac:dyDescent="0.25">
      <c r="A308" s="41" t="s">
        <v>758</v>
      </c>
      <c r="B308" s="42">
        <v>31230172</v>
      </c>
      <c r="C308" s="46">
        <v>3185</v>
      </c>
      <c r="D308" s="43" t="s">
        <v>847</v>
      </c>
      <c r="E308" s="36" t="s">
        <v>848</v>
      </c>
      <c r="F308" s="44" t="s">
        <v>569</v>
      </c>
      <c r="G308" s="36" t="s">
        <v>163</v>
      </c>
      <c r="H308" s="36" t="s">
        <v>163</v>
      </c>
      <c r="I308" s="36" t="s">
        <v>163</v>
      </c>
      <c r="J308" s="43" t="s">
        <v>760</v>
      </c>
      <c r="K308" s="35" t="s">
        <v>143</v>
      </c>
      <c r="L308" s="43" t="s">
        <v>378</v>
      </c>
      <c r="M308" s="43" t="s">
        <v>313</v>
      </c>
      <c r="N308">
        <v>7</v>
      </c>
      <c r="O308" s="57">
        <v>42151</v>
      </c>
    </row>
    <row r="309" spans="1:15" ht="26.4" x14ac:dyDescent="0.25">
      <c r="A309" s="41" t="s">
        <v>849</v>
      </c>
      <c r="B309" s="42">
        <v>32483590</v>
      </c>
      <c r="C309" s="46">
        <v>2500</v>
      </c>
      <c r="D309" s="43" t="s">
        <v>853</v>
      </c>
      <c r="E309" s="35" t="s">
        <v>850</v>
      </c>
      <c r="F309" s="44" t="s">
        <v>569</v>
      </c>
      <c r="G309" s="36" t="s">
        <v>163</v>
      </c>
      <c r="H309" s="36" t="s">
        <v>163</v>
      </c>
      <c r="I309" s="36" t="s">
        <v>163</v>
      </c>
      <c r="J309" s="43" t="s">
        <v>851</v>
      </c>
      <c r="K309" s="35" t="s">
        <v>143</v>
      </c>
      <c r="L309" s="43" t="s">
        <v>852</v>
      </c>
      <c r="M309" s="43" t="s">
        <v>313</v>
      </c>
      <c r="N309">
        <v>1</v>
      </c>
      <c r="O309" s="57">
        <v>42162</v>
      </c>
    </row>
    <row r="310" spans="1:15" ht="26.4" x14ac:dyDescent="0.25">
      <c r="A310" s="41" t="s">
        <v>854</v>
      </c>
      <c r="B310" s="42">
        <v>28831225</v>
      </c>
      <c r="C310" s="46">
        <v>3000</v>
      </c>
      <c r="D310" s="43" t="s">
        <v>855</v>
      </c>
      <c r="E310" s="54" t="s">
        <v>593</v>
      </c>
      <c r="F310" s="44" t="s">
        <v>569</v>
      </c>
      <c r="G310" s="36" t="s">
        <v>163</v>
      </c>
      <c r="H310" s="36" t="s">
        <v>163</v>
      </c>
      <c r="I310" s="36" t="s">
        <v>163</v>
      </c>
      <c r="J310" s="43" t="s">
        <v>549</v>
      </c>
      <c r="K310" s="35" t="s">
        <v>143</v>
      </c>
      <c r="L310" s="43" t="s">
        <v>141</v>
      </c>
      <c r="M310" s="43" t="s">
        <v>313</v>
      </c>
      <c r="N310">
        <v>1</v>
      </c>
      <c r="O310" s="57">
        <v>42162</v>
      </c>
    </row>
    <row r="311" spans="1:15" ht="26.4" x14ac:dyDescent="0.25">
      <c r="A311" s="41" t="s">
        <v>565</v>
      </c>
      <c r="B311" s="42">
        <v>12397514</v>
      </c>
      <c r="C311" s="61">
        <v>1100</v>
      </c>
      <c r="D311" s="62" t="s">
        <v>856</v>
      </c>
      <c r="E311" s="64" t="s">
        <v>593</v>
      </c>
      <c r="F311" s="44" t="s">
        <v>569</v>
      </c>
      <c r="G311" s="36" t="s">
        <v>163</v>
      </c>
      <c r="H311" s="36" t="s">
        <v>163</v>
      </c>
      <c r="I311" s="36" t="s">
        <v>163</v>
      </c>
      <c r="J311" s="43" t="s">
        <v>566</v>
      </c>
      <c r="K311">
        <v>92</v>
      </c>
      <c r="L311" s="43" t="s">
        <v>141</v>
      </c>
      <c r="M311" s="43" t="s">
        <v>313</v>
      </c>
      <c r="N311">
        <v>4</v>
      </c>
      <c r="O311" s="57">
        <v>42150</v>
      </c>
    </row>
    <row r="312" spans="1:15" ht="26.4" x14ac:dyDescent="0.25">
      <c r="A312" s="41" t="s">
        <v>689</v>
      </c>
      <c r="B312" s="42">
        <v>14694046</v>
      </c>
      <c r="C312" s="46">
        <v>1500</v>
      </c>
      <c r="D312" s="43" t="s">
        <v>857</v>
      </c>
      <c r="E312" s="35" t="s">
        <v>850</v>
      </c>
      <c r="F312" s="44" t="s">
        <v>569</v>
      </c>
      <c r="G312" s="36" t="s">
        <v>163</v>
      </c>
      <c r="H312" s="36" t="s">
        <v>163</v>
      </c>
      <c r="I312" s="36" t="s">
        <v>163</v>
      </c>
      <c r="J312" s="43" t="s">
        <v>851</v>
      </c>
      <c r="K312" s="35" t="s">
        <v>143</v>
      </c>
      <c r="L312" s="43" t="s">
        <v>858</v>
      </c>
      <c r="M312" s="43" t="s">
        <v>313</v>
      </c>
      <c r="N312">
        <v>1</v>
      </c>
      <c r="O312" s="57">
        <v>42162</v>
      </c>
    </row>
    <row r="313" spans="1:15" ht="26.4" x14ac:dyDescent="0.25">
      <c r="A313" s="41" t="s">
        <v>565</v>
      </c>
      <c r="B313" s="42">
        <v>12397514</v>
      </c>
      <c r="C313" s="46">
        <v>950</v>
      </c>
      <c r="D313" s="43" t="s">
        <v>859</v>
      </c>
      <c r="E313" s="53" t="s">
        <v>593</v>
      </c>
      <c r="F313" s="44" t="s">
        <v>569</v>
      </c>
      <c r="G313" s="36" t="s">
        <v>163</v>
      </c>
      <c r="H313" s="36" t="s">
        <v>163</v>
      </c>
      <c r="I313" s="36" t="s">
        <v>163</v>
      </c>
      <c r="J313" s="43" t="s">
        <v>566</v>
      </c>
      <c r="K313">
        <v>92</v>
      </c>
      <c r="L313" s="43" t="s">
        <v>141</v>
      </c>
      <c r="M313" s="43" t="s">
        <v>313</v>
      </c>
      <c r="N313">
        <v>10</v>
      </c>
      <c r="O313" s="57">
        <v>42181</v>
      </c>
    </row>
    <row r="314" spans="1:15" ht="26.4" x14ac:dyDescent="0.25">
      <c r="A314" s="41" t="s">
        <v>860</v>
      </c>
      <c r="B314" s="42">
        <v>22352429</v>
      </c>
      <c r="C314" s="46">
        <v>2000</v>
      </c>
      <c r="D314" s="43" t="s">
        <v>861</v>
      </c>
      <c r="E314" s="53" t="s">
        <v>593</v>
      </c>
      <c r="F314" s="44" t="s">
        <v>569</v>
      </c>
      <c r="G314" s="36" t="s">
        <v>163</v>
      </c>
      <c r="H314" s="36" t="s">
        <v>163</v>
      </c>
      <c r="I314" s="36" t="s">
        <v>163</v>
      </c>
      <c r="J314" s="43" t="s">
        <v>862</v>
      </c>
      <c r="K314" s="35" t="s">
        <v>285</v>
      </c>
      <c r="L314" s="43" t="s">
        <v>723</v>
      </c>
      <c r="M314" s="43" t="s">
        <v>313</v>
      </c>
      <c r="N314">
        <v>3</v>
      </c>
      <c r="O314" s="57">
        <v>42157</v>
      </c>
    </row>
    <row r="315" spans="1:15" ht="26.4" x14ac:dyDescent="0.25">
      <c r="A315" s="41" t="s">
        <v>863</v>
      </c>
      <c r="B315" s="42">
        <v>22214698</v>
      </c>
      <c r="C315" s="46">
        <v>12600</v>
      </c>
      <c r="D315" s="43" t="s">
        <v>1082</v>
      </c>
      <c r="E315" s="53" t="s">
        <v>593</v>
      </c>
      <c r="F315" s="44" t="s">
        <v>569</v>
      </c>
      <c r="G315" s="36" t="s">
        <v>163</v>
      </c>
      <c r="H315" s="36" t="s">
        <v>163</v>
      </c>
      <c r="I315" s="36" t="s">
        <v>163</v>
      </c>
      <c r="J315" s="43" t="s">
        <v>864</v>
      </c>
      <c r="K315" s="35" t="s">
        <v>285</v>
      </c>
      <c r="L315" s="43" t="s">
        <v>865</v>
      </c>
      <c r="M315" s="43" t="s">
        <v>313</v>
      </c>
      <c r="N315">
        <v>3</v>
      </c>
      <c r="O315" s="57">
        <v>42401</v>
      </c>
    </row>
    <row r="316" spans="1:15" ht="26.4" x14ac:dyDescent="0.25">
      <c r="A316" s="41" t="s">
        <v>565</v>
      </c>
      <c r="B316" s="42">
        <v>12397514</v>
      </c>
      <c r="C316" s="46">
        <v>1900</v>
      </c>
      <c r="D316" s="43" t="s">
        <v>866</v>
      </c>
      <c r="E316" s="53" t="s">
        <v>593</v>
      </c>
      <c r="F316" s="44" t="s">
        <v>569</v>
      </c>
      <c r="G316" s="36" t="s">
        <v>163</v>
      </c>
      <c r="H316" s="36" t="s">
        <v>163</v>
      </c>
      <c r="I316" s="36" t="s">
        <v>163</v>
      </c>
      <c r="J316" s="43" t="s">
        <v>566</v>
      </c>
      <c r="K316">
        <v>92</v>
      </c>
      <c r="L316" s="43" t="s">
        <v>141</v>
      </c>
      <c r="M316" s="43" t="s">
        <v>313</v>
      </c>
      <c r="N316">
        <v>4</v>
      </c>
      <c r="O316" s="57">
        <v>42163</v>
      </c>
    </row>
    <row r="317" spans="1:15" ht="26.4" x14ac:dyDescent="0.25">
      <c r="A317" s="41" t="s">
        <v>867</v>
      </c>
      <c r="B317" s="85">
        <v>24056480</v>
      </c>
      <c r="C317" s="46">
        <v>1520</v>
      </c>
      <c r="D317" s="43" t="s">
        <v>868</v>
      </c>
      <c r="E317" s="53" t="s">
        <v>593</v>
      </c>
      <c r="F317" s="44" t="s">
        <v>569</v>
      </c>
      <c r="G317" s="36" t="s">
        <v>163</v>
      </c>
      <c r="H317" s="36" t="s">
        <v>163</v>
      </c>
      <c r="I317" s="36" t="s">
        <v>163</v>
      </c>
      <c r="J317" s="43" t="s">
        <v>869</v>
      </c>
      <c r="K317">
        <v>38</v>
      </c>
      <c r="L317" s="43" t="s">
        <v>870</v>
      </c>
      <c r="M317" s="43" t="s">
        <v>313</v>
      </c>
      <c r="N317">
        <v>5</v>
      </c>
      <c r="O317" s="57">
        <v>42173</v>
      </c>
    </row>
    <row r="318" spans="1:15" ht="26.4" x14ac:dyDescent="0.25">
      <c r="A318" s="41" t="s">
        <v>758</v>
      </c>
      <c r="B318" s="52">
        <v>31230172</v>
      </c>
      <c r="C318" s="46">
        <v>1820</v>
      </c>
      <c r="D318" s="43" t="s">
        <v>872</v>
      </c>
      <c r="E318" s="53" t="s">
        <v>871</v>
      </c>
      <c r="F318" s="44" t="s">
        <v>646</v>
      </c>
      <c r="G318" s="36" t="s">
        <v>163</v>
      </c>
      <c r="H318" s="36" t="s">
        <v>163</v>
      </c>
      <c r="I318" s="36" t="s">
        <v>163</v>
      </c>
      <c r="J318" s="43" t="s">
        <v>760</v>
      </c>
      <c r="K318" s="35" t="s">
        <v>143</v>
      </c>
      <c r="L318" s="43" t="s">
        <v>378</v>
      </c>
      <c r="M318" s="43" t="s">
        <v>313</v>
      </c>
      <c r="N318">
        <v>4</v>
      </c>
      <c r="O318" s="57">
        <v>42163</v>
      </c>
    </row>
    <row r="319" spans="1:15" ht="26.4" x14ac:dyDescent="0.25">
      <c r="A319" s="41" t="s">
        <v>873</v>
      </c>
      <c r="B319" s="52">
        <v>27468309</v>
      </c>
      <c r="C319" s="46">
        <v>9000</v>
      </c>
      <c r="D319" s="43" t="s">
        <v>874</v>
      </c>
      <c r="E319" s="53" t="s">
        <v>593</v>
      </c>
      <c r="F319" s="44" t="s">
        <v>569</v>
      </c>
      <c r="G319" s="36" t="s">
        <v>163</v>
      </c>
      <c r="H319" s="36" t="s">
        <v>163</v>
      </c>
      <c r="I319" s="36" t="s">
        <v>163</v>
      </c>
      <c r="J319" s="43" t="s">
        <v>875</v>
      </c>
      <c r="K319" s="35" t="s">
        <v>143</v>
      </c>
      <c r="L319" s="43" t="s">
        <v>141</v>
      </c>
      <c r="M319" s="43" t="s">
        <v>313</v>
      </c>
      <c r="N319">
        <v>15</v>
      </c>
      <c r="O319" s="57">
        <v>42177</v>
      </c>
    </row>
    <row r="320" spans="1:15" ht="26.4" x14ac:dyDescent="0.25">
      <c r="A320" s="41" t="s">
        <v>876</v>
      </c>
      <c r="B320" s="52">
        <v>33017391</v>
      </c>
      <c r="C320" s="46">
        <v>2450</v>
      </c>
      <c r="D320" s="43" t="s">
        <v>879</v>
      </c>
      <c r="E320" s="35" t="s">
        <v>877</v>
      </c>
      <c r="F320" s="44" t="s">
        <v>569</v>
      </c>
      <c r="G320" s="36" t="s">
        <v>163</v>
      </c>
      <c r="H320" s="36" t="s">
        <v>163</v>
      </c>
      <c r="I320" s="36" t="s">
        <v>163</v>
      </c>
      <c r="J320" s="43" t="s">
        <v>878</v>
      </c>
      <c r="K320" s="35" t="s">
        <v>143</v>
      </c>
      <c r="L320" s="43" t="s">
        <v>782</v>
      </c>
      <c r="M320" s="43" t="s">
        <v>313</v>
      </c>
      <c r="N320">
        <v>2</v>
      </c>
      <c r="O320" s="57">
        <v>42248</v>
      </c>
    </row>
    <row r="321" spans="1:15" ht="26.4" x14ac:dyDescent="0.25">
      <c r="A321" s="41" t="s">
        <v>880</v>
      </c>
      <c r="B321" s="52">
        <v>23442305</v>
      </c>
      <c r="C321" s="46">
        <v>3000</v>
      </c>
      <c r="D321" s="43" t="s">
        <v>881</v>
      </c>
      <c r="E321" s="35" t="s">
        <v>882</v>
      </c>
      <c r="F321" s="44" t="s">
        <v>569</v>
      </c>
      <c r="G321" s="36" t="s">
        <v>163</v>
      </c>
      <c r="H321" s="36" t="s">
        <v>163</v>
      </c>
      <c r="I321" s="36" t="s">
        <v>163</v>
      </c>
      <c r="J321" s="43" t="s">
        <v>691</v>
      </c>
      <c r="K321" s="35" t="s">
        <v>285</v>
      </c>
      <c r="L321" s="43" t="s">
        <v>141</v>
      </c>
      <c r="M321" s="43" t="s">
        <v>313</v>
      </c>
      <c r="N321">
        <v>4</v>
      </c>
      <c r="O321" s="57">
        <v>42249</v>
      </c>
    </row>
    <row r="322" spans="1:15" ht="26.4" x14ac:dyDescent="0.25">
      <c r="A322" s="41" t="s">
        <v>586</v>
      </c>
      <c r="B322" s="52">
        <v>17908459</v>
      </c>
      <c r="C322" s="46">
        <v>1500</v>
      </c>
      <c r="D322" s="43" t="s">
        <v>883</v>
      </c>
      <c r="E322" s="35" t="s">
        <v>884</v>
      </c>
      <c r="F322" s="44" t="s">
        <v>569</v>
      </c>
      <c r="G322" s="36" t="s">
        <v>163</v>
      </c>
      <c r="H322" s="36" t="s">
        <v>163</v>
      </c>
      <c r="I322" s="36" t="s">
        <v>163</v>
      </c>
      <c r="J322" s="43" t="s">
        <v>889</v>
      </c>
      <c r="K322" s="35" t="s">
        <v>285</v>
      </c>
      <c r="L322" s="43" t="s">
        <v>141</v>
      </c>
      <c r="M322" s="43" t="s">
        <v>313</v>
      </c>
      <c r="N322">
        <v>6</v>
      </c>
      <c r="O322" s="57">
        <v>42254</v>
      </c>
    </row>
    <row r="323" spans="1:15" ht="26.4" x14ac:dyDescent="0.25">
      <c r="A323" s="41" t="s">
        <v>885</v>
      </c>
      <c r="B323" s="52">
        <v>22104090</v>
      </c>
      <c r="C323" s="46">
        <v>3000</v>
      </c>
      <c r="D323" s="43" t="s">
        <v>887</v>
      </c>
      <c r="E323" s="53" t="s">
        <v>888</v>
      </c>
      <c r="F323" s="44" t="s">
        <v>569</v>
      </c>
      <c r="G323" s="36" t="s">
        <v>163</v>
      </c>
      <c r="H323" s="36" t="s">
        <v>163</v>
      </c>
      <c r="I323" s="36" t="s">
        <v>163</v>
      </c>
      <c r="J323" s="43" t="s">
        <v>886</v>
      </c>
      <c r="K323" t="s">
        <v>285</v>
      </c>
      <c r="L323" s="43" t="s">
        <v>141</v>
      </c>
      <c r="M323" s="43" t="s">
        <v>313</v>
      </c>
      <c r="N323">
        <v>7</v>
      </c>
      <c r="O323" s="57">
        <v>42261</v>
      </c>
    </row>
    <row r="324" spans="1:15" ht="26.4" x14ac:dyDescent="0.25">
      <c r="A324" s="41" t="s">
        <v>890</v>
      </c>
      <c r="B324" s="52">
        <v>22104067</v>
      </c>
      <c r="C324" s="46">
        <v>900</v>
      </c>
      <c r="D324" s="43" t="s">
        <v>891</v>
      </c>
      <c r="E324" s="35" t="s">
        <v>892</v>
      </c>
      <c r="F324" s="44" t="s">
        <v>569</v>
      </c>
      <c r="G324" s="36" t="s">
        <v>163</v>
      </c>
      <c r="H324" s="36" t="s">
        <v>163</v>
      </c>
      <c r="I324" s="36" t="s">
        <v>163</v>
      </c>
      <c r="J324" s="43" t="s">
        <v>662</v>
      </c>
      <c r="K324" s="35" t="s">
        <v>143</v>
      </c>
      <c r="L324" s="43" t="s">
        <v>141</v>
      </c>
      <c r="M324" s="43" t="s">
        <v>313</v>
      </c>
      <c r="N324">
        <v>2</v>
      </c>
      <c r="O324" s="57">
        <v>42248</v>
      </c>
    </row>
    <row r="325" spans="1:15" ht="26.4" x14ac:dyDescent="0.25">
      <c r="A325" s="41" t="s">
        <v>880</v>
      </c>
      <c r="B325" s="52">
        <v>23442305</v>
      </c>
      <c r="C325" s="46">
        <v>5500</v>
      </c>
      <c r="D325" s="43" t="s">
        <v>893</v>
      </c>
      <c r="E325" s="53" t="s">
        <v>593</v>
      </c>
      <c r="F325" s="44" t="s">
        <v>569</v>
      </c>
      <c r="G325" s="36" t="s">
        <v>163</v>
      </c>
      <c r="H325" s="36" t="s">
        <v>163</v>
      </c>
      <c r="I325" s="36" t="s">
        <v>163</v>
      </c>
      <c r="J325" s="43" t="s">
        <v>691</v>
      </c>
      <c r="K325" s="35" t="s">
        <v>285</v>
      </c>
      <c r="L325" s="43" t="s">
        <v>141</v>
      </c>
      <c r="M325" s="43" t="s">
        <v>313</v>
      </c>
      <c r="N325">
        <v>3</v>
      </c>
      <c r="O325" s="57">
        <v>42264</v>
      </c>
    </row>
    <row r="326" spans="1:15" ht="26.4" x14ac:dyDescent="0.25">
      <c r="A326" s="41" t="s">
        <v>894</v>
      </c>
      <c r="B326" s="52">
        <v>36917651</v>
      </c>
      <c r="C326" s="46">
        <v>1890</v>
      </c>
      <c r="D326" s="43" t="s">
        <v>895</v>
      </c>
      <c r="E326" s="53" t="s">
        <v>593</v>
      </c>
      <c r="F326" s="44" t="s">
        <v>569</v>
      </c>
      <c r="G326" s="36" t="s">
        <v>163</v>
      </c>
      <c r="H326" s="36" t="s">
        <v>163</v>
      </c>
      <c r="I326" s="36" t="s">
        <v>163</v>
      </c>
      <c r="J326" s="43" t="s">
        <v>896</v>
      </c>
      <c r="K326">
        <v>471</v>
      </c>
      <c r="L326" s="43" t="s">
        <v>141</v>
      </c>
      <c r="M326" s="43" t="s">
        <v>313</v>
      </c>
      <c r="N326">
        <v>5</v>
      </c>
      <c r="O326" s="57">
        <v>42261</v>
      </c>
    </row>
    <row r="327" spans="1:15" ht="26.4" x14ac:dyDescent="0.25">
      <c r="A327" s="41" t="s">
        <v>897</v>
      </c>
      <c r="B327" s="52">
        <v>6698968</v>
      </c>
      <c r="C327" s="46">
        <v>700</v>
      </c>
      <c r="D327" s="43" t="s">
        <v>898</v>
      </c>
      <c r="E327" s="35" t="s">
        <v>899</v>
      </c>
      <c r="F327" s="44" t="s">
        <v>569</v>
      </c>
      <c r="G327" s="36" t="s">
        <v>163</v>
      </c>
      <c r="H327" s="36" t="s">
        <v>163</v>
      </c>
      <c r="I327" s="36" t="s">
        <v>163</v>
      </c>
      <c r="J327" s="43" t="s">
        <v>723</v>
      </c>
      <c r="L327" s="43" t="s">
        <v>141</v>
      </c>
      <c r="M327" s="43" t="s">
        <v>313</v>
      </c>
      <c r="N327">
        <v>28</v>
      </c>
      <c r="O327" s="57">
        <v>42248</v>
      </c>
    </row>
    <row r="328" spans="1:15" ht="26.4" x14ac:dyDescent="0.25">
      <c r="A328" s="41" t="s">
        <v>900</v>
      </c>
      <c r="B328" s="52">
        <v>28837107</v>
      </c>
      <c r="C328" s="60">
        <v>4000</v>
      </c>
      <c r="D328" s="43" t="s">
        <v>901</v>
      </c>
      <c r="E328" s="35" t="s">
        <v>902</v>
      </c>
      <c r="F328" s="44" t="s">
        <v>569</v>
      </c>
      <c r="G328" s="36" t="s">
        <v>163</v>
      </c>
      <c r="H328" s="36" t="s">
        <v>163</v>
      </c>
      <c r="I328" s="36" t="s">
        <v>163</v>
      </c>
      <c r="J328" s="43" t="s">
        <v>662</v>
      </c>
      <c r="L328" s="43" t="s">
        <v>141</v>
      </c>
      <c r="M328" s="43" t="s">
        <v>313</v>
      </c>
      <c r="N328">
        <v>7</v>
      </c>
      <c r="O328" s="57">
        <v>42268</v>
      </c>
    </row>
    <row r="329" spans="1:15" ht="26.4" x14ac:dyDescent="0.25">
      <c r="A329" s="41" t="s">
        <v>894</v>
      </c>
      <c r="B329" s="52">
        <v>36917651</v>
      </c>
      <c r="C329" s="46">
        <v>1000</v>
      </c>
      <c r="D329" s="43" t="s">
        <v>903</v>
      </c>
      <c r="E329" s="53" t="s">
        <v>593</v>
      </c>
      <c r="F329" s="44" t="s">
        <v>569</v>
      </c>
      <c r="G329" s="36" t="s">
        <v>163</v>
      </c>
      <c r="H329" s="36" t="s">
        <v>163</v>
      </c>
      <c r="I329" s="36" t="s">
        <v>163</v>
      </c>
      <c r="J329" s="43" t="s">
        <v>896</v>
      </c>
      <c r="K329">
        <v>471</v>
      </c>
      <c r="L329" s="43" t="s">
        <v>141</v>
      </c>
      <c r="M329" s="43" t="s">
        <v>313</v>
      </c>
      <c r="N329">
        <v>5</v>
      </c>
      <c r="O329" s="57">
        <v>42268</v>
      </c>
    </row>
    <row r="330" spans="1:15" ht="26.4" x14ac:dyDescent="0.25">
      <c r="A330" s="41" t="s">
        <v>904</v>
      </c>
      <c r="B330" s="52">
        <v>17634681</v>
      </c>
      <c r="C330" s="46">
        <v>3000</v>
      </c>
      <c r="D330" s="43" t="s">
        <v>906</v>
      </c>
      <c r="E330" s="53" t="s">
        <v>593</v>
      </c>
      <c r="F330" s="44" t="s">
        <v>569</v>
      </c>
      <c r="G330" s="36" t="s">
        <v>163</v>
      </c>
      <c r="H330" s="36" t="s">
        <v>163</v>
      </c>
      <c r="I330" s="36" t="s">
        <v>163</v>
      </c>
      <c r="J330" s="43" t="s">
        <v>905</v>
      </c>
      <c r="K330">
        <v>358</v>
      </c>
      <c r="L330" s="43" t="s">
        <v>141</v>
      </c>
      <c r="M330" s="43" t="s">
        <v>313</v>
      </c>
      <c r="N330">
        <v>5</v>
      </c>
      <c r="O330" s="57">
        <v>42268</v>
      </c>
    </row>
    <row r="331" spans="1:15" ht="26.4" x14ac:dyDescent="0.25">
      <c r="A331" s="41" t="s">
        <v>565</v>
      </c>
      <c r="B331" s="52">
        <v>12397514</v>
      </c>
      <c r="C331" s="46">
        <v>600</v>
      </c>
      <c r="D331" s="43" t="s">
        <v>907</v>
      </c>
      <c r="E331" s="53" t="s">
        <v>593</v>
      </c>
      <c r="F331" s="44" t="s">
        <v>569</v>
      </c>
      <c r="G331" s="36" t="s">
        <v>163</v>
      </c>
      <c r="H331" s="36" t="s">
        <v>163</v>
      </c>
      <c r="I331" s="36" t="s">
        <v>163</v>
      </c>
      <c r="J331" s="43" t="s">
        <v>566</v>
      </c>
      <c r="K331">
        <v>92</v>
      </c>
      <c r="L331" s="43" t="s">
        <v>141</v>
      </c>
      <c r="M331" s="43" t="s">
        <v>313</v>
      </c>
      <c r="N331">
        <v>3</v>
      </c>
      <c r="O331" s="57">
        <v>42278</v>
      </c>
    </row>
    <row r="332" spans="1:15" ht="26.4" x14ac:dyDescent="0.25">
      <c r="A332" s="41" t="s">
        <v>908</v>
      </c>
      <c r="B332" s="52">
        <v>23398053</v>
      </c>
      <c r="C332" s="46">
        <v>1000</v>
      </c>
      <c r="D332" s="43" t="s">
        <v>909</v>
      </c>
      <c r="E332" s="35" t="s">
        <v>884</v>
      </c>
      <c r="F332" s="44" t="s">
        <v>569</v>
      </c>
      <c r="G332" s="36" t="s">
        <v>163</v>
      </c>
      <c r="H332" s="36" t="s">
        <v>163</v>
      </c>
      <c r="I332" s="36" t="s">
        <v>163</v>
      </c>
      <c r="J332" s="43" t="s">
        <v>896</v>
      </c>
      <c r="K332">
        <v>195</v>
      </c>
      <c r="L332" s="43" t="s">
        <v>141</v>
      </c>
      <c r="M332" s="43" t="s">
        <v>313</v>
      </c>
      <c r="N332">
        <v>3</v>
      </c>
      <c r="O332" s="57">
        <v>42282</v>
      </c>
    </row>
    <row r="333" spans="1:15" ht="26.4" x14ac:dyDescent="0.25">
      <c r="A333" s="41" t="s">
        <v>910</v>
      </c>
      <c r="B333" s="52">
        <v>18595248</v>
      </c>
      <c r="C333" s="60">
        <v>875</v>
      </c>
      <c r="D333" s="43" t="s">
        <v>914</v>
      </c>
      <c r="E333" s="35" t="s">
        <v>915</v>
      </c>
      <c r="F333" s="44" t="s">
        <v>569</v>
      </c>
      <c r="G333" s="36" t="s">
        <v>163</v>
      </c>
      <c r="H333" s="36" t="s">
        <v>163</v>
      </c>
      <c r="I333" s="36" t="s">
        <v>163</v>
      </c>
      <c r="J333" s="43" t="s">
        <v>913</v>
      </c>
      <c r="K333" s="35" t="s">
        <v>285</v>
      </c>
      <c r="L333" s="43" t="s">
        <v>141</v>
      </c>
      <c r="M333" s="43" t="s">
        <v>313</v>
      </c>
      <c r="N333">
        <v>4</v>
      </c>
      <c r="O333" s="57">
        <v>42285</v>
      </c>
    </row>
    <row r="334" spans="1:15" ht="26.4" x14ac:dyDescent="0.25">
      <c r="A334" s="41" t="s">
        <v>586</v>
      </c>
      <c r="B334" s="52">
        <v>17908459</v>
      </c>
      <c r="C334" s="46">
        <v>6500</v>
      </c>
      <c r="D334" s="43" t="s">
        <v>911</v>
      </c>
      <c r="E334" s="35" t="s">
        <v>912</v>
      </c>
      <c r="F334" s="44" t="s">
        <v>569</v>
      </c>
      <c r="G334" s="36" t="s">
        <v>163</v>
      </c>
      <c r="H334" s="36" t="s">
        <v>163</v>
      </c>
      <c r="I334" s="36" t="s">
        <v>163</v>
      </c>
      <c r="J334" s="43" t="s">
        <v>889</v>
      </c>
      <c r="K334" t="s">
        <v>285</v>
      </c>
      <c r="L334" s="43" t="s">
        <v>141</v>
      </c>
      <c r="M334" s="43" t="s">
        <v>313</v>
      </c>
      <c r="N334">
        <v>5</v>
      </c>
      <c r="O334" s="57">
        <v>42279</v>
      </c>
    </row>
    <row r="335" spans="1:15" ht="26.4" x14ac:dyDescent="0.25">
      <c r="A335" s="41" t="s">
        <v>1047</v>
      </c>
      <c r="B335" s="52">
        <v>36917675</v>
      </c>
      <c r="C335" s="46">
        <f>102*37.78</f>
        <v>3853.56</v>
      </c>
      <c r="D335" s="43" t="s">
        <v>1046</v>
      </c>
      <c r="E335" s="35" t="s">
        <v>1028</v>
      </c>
      <c r="F335" s="44" t="s">
        <v>569</v>
      </c>
      <c r="G335" s="36" t="s">
        <v>163</v>
      </c>
      <c r="H335" s="36" t="s">
        <v>163</v>
      </c>
      <c r="I335" s="36" t="s">
        <v>163</v>
      </c>
      <c r="J335" s="43" t="s">
        <v>889</v>
      </c>
      <c r="K335" s="35" t="s">
        <v>285</v>
      </c>
      <c r="L335" s="43" t="s">
        <v>141</v>
      </c>
      <c r="M335" s="43" t="s">
        <v>313</v>
      </c>
      <c r="N335">
        <v>13</v>
      </c>
      <c r="O335" s="57">
        <v>42357</v>
      </c>
    </row>
    <row r="336" spans="1:15" ht="26.4" x14ac:dyDescent="0.25">
      <c r="A336" s="41" t="s">
        <v>917</v>
      </c>
      <c r="B336" s="52">
        <v>36154751</v>
      </c>
      <c r="C336" s="46">
        <v>700</v>
      </c>
      <c r="D336" s="43" t="s">
        <v>916</v>
      </c>
      <c r="E336" s="35" t="s">
        <v>915</v>
      </c>
      <c r="F336" s="44" t="s">
        <v>569</v>
      </c>
      <c r="G336" s="36" t="s">
        <v>163</v>
      </c>
      <c r="H336" s="36" t="s">
        <v>163</v>
      </c>
      <c r="I336" s="36" t="s">
        <v>163</v>
      </c>
      <c r="J336" s="43" t="s">
        <v>889</v>
      </c>
      <c r="K336" s="35" t="s">
        <v>285</v>
      </c>
      <c r="L336" s="43" t="s">
        <v>141</v>
      </c>
      <c r="M336" s="43" t="s">
        <v>313</v>
      </c>
      <c r="N336">
        <v>3</v>
      </c>
      <c r="O336" s="57">
        <v>42279</v>
      </c>
    </row>
    <row r="337" spans="1:15" ht="26.4" x14ac:dyDescent="0.25">
      <c r="A337" s="41" t="s">
        <v>900</v>
      </c>
      <c r="B337" s="52">
        <v>28837107</v>
      </c>
      <c r="C337" s="46">
        <v>3500</v>
      </c>
      <c r="D337" s="43" t="s">
        <v>918</v>
      </c>
      <c r="E337" s="35" t="s">
        <v>919</v>
      </c>
      <c r="F337" s="44" t="s">
        <v>569</v>
      </c>
      <c r="G337" s="36" t="s">
        <v>163</v>
      </c>
      <c r="H337" s="36" t="s">
        <v>163</v>
      </c>
      <c r="I337" s="36" t="s">
        <v>163</v>
      </c>
      <c r="J337" s="43" t="s">
        <v>662</v>
      </c>
      <c r="K337" s="35" t="s">
        <v>285</v>
      </c>
      <c r="L337" s="43" t="s">
        <v>141</v>
      </c>
      <c r="M337" s="43" t="s">
        <v>313</v>
      </c>
      <c r="N337">
        <v>4</v>
      </c>
      <c r="O337" s="57">
        <v>42290</v>
      </c>
    </row>
    <row r="338" spans="1:15" ht="26.4" x14ac:dyDescent="0.25">
      <c r="A338" s="41" t="s">
        <v>920</v>
      </c>
      <c r="B338" s="52">
        <v>17790171</v>
      </c>
      <c r="C338" s="46">
        <v>1650</v>
      </c>
      <c r="D338" s="43" t="s">
        <v>921</v>
      </c>
      <c r="E338" s="53" t="s">
        <v>593</v>
      </c>
      <c r="F338" s="44" t="s">
        <v>569</v>
      </c>
      <c r="G338" s="36" t="s">
        <v>163</v>
      </c>
      <c r="H338" s="36" t="s">
        <v>163</v>
      </c>
      <c r="I338" s="36" t="s">
        <v>163</v>
      </c>
      <c r="J338" s="43" t="s">
        <v>922</v>
      </c>
      <c r="K338">
        <v>347</v>
      </c>
      <c r="L338" s="43" t="s">
        <v>141</v>
      </c>
      <c r="M338" s="43" t="s">
        <v>313</v>
      </c>
      <c r="N338">
        <v>4</v>
      </c>
      <c r="O338" s="57">
        <v>42282</v>
      </c>
    </row>
    <row r="339" spans="1:15" ht="26.4" x14ac:dyDescent="0.25">
      <c r="A339" s="41" t="s">
        <v>926</v>
      </c>
      <c r="B339" s="52">
        <v>11397973</v>
      </c>
      <c r="C339" s="46">
        <v>1000</v>
      </c>
      <c r="D339" s="43" t="s">
        <v>923</v>
      </c>
      <c r="E339" s="35" t="s">
        <v>924</v>
      </c>
      <c r="F339" s="44" t="s">
        <v>569</v>
      </c>
      <c r="G339" s="36" t="s">
        <v>163</v>
      </c>
      <c r="H339" s="36" t="s">
        <v>163</v>
      </c>
      <c r="I339" s="36" t="s">
        <v>163</v>
      </c>
      <c r="J339" s="43" t="s">
        <v>925</v>
      </c>
      <c r="K339">
        <v>139</v>
      </c>
      <c r="L339" s="43" t="s">
        <v>141</v>
      </c>
      <c r="M339" s="43" t="s">
        <v>313</v>
      </c>
      <c r="N339">
        <v>3</v>
      </c>
      <c r="O339" s="57">
        <v>42282</v>
      </c>
    </row>
    <row r="340" spans="1:15" ht="26.4" x14ac:dyDescent="0.25">
      <c r="A340" s="41" t="s">
        <v>927</v>
      </c>
      <c r="B340" s="52">
        <v>18105934</v>
      </c>
      <c r="C340" s="46">
        <v>5850</v>
      </c>
      <c r="D340" s="43" t="s">
        <v>928</v>
      </c>
      <c r="E340" s="53" t="s">
        <v>593</v>
      </c>
      <c r="F340" s="44" t="s">
        <v>569</v>
      </c>
      <c r="G340" s="36" t="s">
        <v>163</v>
      </c>
      <c r="H340" s="36" t="s">
        <v>163</v>
      </c>
      <c r="I340" s="36" t="s">
        <v>163</v>
      </c>
      <c r="J340" s="43" t="s">
        <v>929</v>
      </c>
      <c r="K340" s="35" t="s">
        <v>285</v>
      </c>
      <c r="L340" s="43" t="s">
        <v>378</v>
      </c>
      <c r="M340" s="43" t="s">
        <v>313</v>
      </c>
      <c r="N340">
        <v>3</v>
      </c>
      <c r="O340" s="57">
        <v>42290</v>
      </c>
    </row>
    <row r="341" spans="1:15" ht="26.4" x14ac:dyDescent="0.25">
      <c r="A341" s="41" t="s">
        <v>930</v>
      </c>
      <c r="B341" s="52">
        <v>18644221</v>
      </c>
      <c r="C341" s="46">
        <v>8000</v>
      </c>
      <c r="D341" s="43" t="s">
        <v>932</v>
      </c>
      <c r="E341" s="35" t="s">
        <v>933</v>
      </c>
      <c r="F341" s="44" t="s">
        <v>569</v>
      </c>
      <c r="G341" s="36" t="s">
        <v>163</v>
      </c>
      <c r="H341" s="36" t="s">
        <v>163</v>
      </c>
      <c r="I341" s="36" t="s">
        <v>163</v>
      </c>
      <c r="J341" s="43" t="s">
        <v>931</v>
      </c>
      <c r="K341" s="35" t="s">
        <v>285</v>
      </c>
      <c r="L341" s="43" t="s">
        <v>141</v>
      </c>
      <c r="M341" s="43" t="s">
        <v>313</v>
      </c>
      <c r="N341">
        <v>30</v>
      </c>
      <c r="O341" s="57">
        <v>42278</v>
      </c>
    </row>
    <row r="342" spans="1:15" ht="26.4" x14ac:dyDescent="0.25">
      <c r="A342" s="41" t="s">
        <v>934</v>
      </c>
      <c r="B342" s="52">
        <v>18566398</v>
      </c>
      <c r="C342" s="46">
        <v>7200</v>
      </c>
      <c r="D342" s="43" t="s">
        <v>936</v>
      </c>
      <c r="E342" s="35" t="s">
        <v>937</v>
      </c>
      <c r="F342" s="44" t="s">
        <v>569</v>
      </c>
      <c r="G342" s="36" t="s">
        <v>163</v>
      </c>
      <c r="H342" s="36" t="s">
        <v>163</v>
      </c>
      <c r="I342" s="36" t="s">
        <v>163</v>
      </c>
      <c r="J342" s="43" t="s">
        <v>931</v>
      </c>
      <c r="K342">
        <v>343</v>
      </c>
      <c r="L342" s="43" t="s">
        <v>141</v>
      </c>
      <c r="M342" s="43" t="s">
        <v>313</v>
      </c>
      <c r="N342">
        <v>10</v>
      </c>
      <c r="O342" s="57">
        <v>42268</v>
      </c>
    </row>
    <row r="343" spans="1:15" ht="26.4" x14ac:dyDescent="0.25">
      <c r="A343" s="41" t="s">
        <v>935</v>
      </c>
      <c r="B343" s="52">
        <v>11199679</v>
      </c>
      <c r="C343" s="46">
        <v>2820</v>
      </c>
      <c r="D343" s="43" t="s">
        <v>991</v>
      </c>
      <c r="E343" s="53" t="s">
        <v>593</v>
      </c>
      <c r="F343" s="44" t="s">
        <v>569</v>
      </c>
      <c r="G343" s="36" t="s">
        <v>163</v>
      </c>
      <c r="H343" s="36" t="s">
        <v>163</v>
      </c>
      <c r="I343" s="36" t="s">
        <v>163</v>
      </c>
      <c r="J343" s="43" t="s">
        <v>922</v>
      </c>
      <c r="K343" s="35" t="s">
        <v>285</v>
      </c>
      <c r="L343" s="43" t="s">
        <v>141</v>
      </c>
      <c r="M343" s="43" t="s">
        <v>313</v>
      </c>
      <c r="N343">
        <v>30</v>
      </c>
      <c r="O343" s="57">
        <v>42360</v>
      </c>
    </row>
    <row r="344" spans="1:15" ht="26.4" x14ac:dyDescent="0.25">
      <c r="A344" s="41" t="s">
        <v>938</v>
      </c>
      <c r="B344" s="52">
        <v>94070563</v>
      </c>
      <c r="C344" s="46">
        <v>6000</v>
      </c>
      <c r="D344" s="43" t="s">
        <v>939</v>
      </c>
      <c r="E344" s="53" t="s">
        <v>593</v>
      </c>
      <c r="F344" s="44" t="s">
        <v>646</v>
      </c>
      <c r="G344" s="36" t="s">
        <v>163</v>
      </c>
      <c r="H344" s="36" t="s">
        <v>163</v>
      </c>
      <c r="I344" s="36" t="s">
        <v>163</v>
      </c>
      <c r="J344" s="43" t="s">
        <v>864</v>
      </c>
      <c r="K344" s="35" t="s">
        <v>285</v>
      </c>
      <c r="L344" s="43" t="s">
        <v>723</v>
      </c>
      <c r="M344" s="43" t="s">
        <v>313</v>
      </c>
      <c r="N344">
        <v>60</v>
      </c>
      <c r="O344" s="57">
        <v>42248</v>
      </c>
    </row>
    <row r="345" spans="1:15" ht="26.4" x14ac:dyDescent="0.25">
      <c r="A345" s="41" t="s">
        <v>900</v>
      </c>
      <c r="B345" s="52">
        <v>28837107</v>
      </c>
      <c r="C345" s="46">
        <v>3600</v>
      </c>
      <c r="D345" s="43" t="s">
        <v>918</v>
      </c>
      <c r="E345" s="35" t="s">
        <v>919</v>
      </c>
      <c r="F345" s="44" t="s">
        <v>569</v>
      </c>
      <c r="G345" s="36" t="s">
        <v>163</v>
      </c>
      <c r="H345" s="36" t="s">
        <v>163</v>
      </c>
      <c r="I345" s="36" t="s">
        <v>163</v>
      </c>
      <c r="J345" s="43" t="s">
        <v>662</v>
      </c>
      <c r="K345" s="35" t="s">
        <v>285</v>
      </c>
      <c r="L345" s="43" t="s">
        <v>141</v>
      </c>
      <c r="M345" s="43" t="s">
        <v>313</v>
      </c>
      <c r="N345">
        <v>4</v>
      </c>
      <c r="O345" s="57">
        <v>42318</v>
      </c>
    </row>
    <row r="346" spans="1:15" ht="26.4" x14ac:dyDescent="0.25">
      <c r="A346" s="41" t="s">
        <v>897</v>
      </c>
      <c r="B346" s="52">
        <v>6698968</v>
      </c>
      <c r="C346" s="46">
        <v>800</v>
      </c>
      <c r="D346" s="43" t="s">
        <v>940</v>
      </c>
      <c r="E346" s="35" t="s">
        <v>942</v>
      </c>
      <c r="F346" s="44" t="s">
        <v>569</v>
      </c>
      <c r="G346" s="36" t="s">
        <v>163</v>
      </c>
      <c r="H346" s="36" t="s">
        <v>163</v>
      </c>
      <c r="I346" s="36" t="s">
        <v>163</v>
      </c>
      <c r="J346" s="43" t="s">
        <v>818</v>
      </c>
      <c r="K346" s="35" t="s">
        <v>285</v>
      </c>
      <c r="L346" s="43" t="s">
        <v>941</v>
      </c>
      <c r="M346" s="43" t="s">
        <v>313</v>
      </c>
      <c r="N346">
        <v>5</v>
      </c>
      <c r="O346" s="57">
        <v>42318</v>
      </c>
    </row>
    <row r="347" spans="1:15" ht="26.4" x14ac:dyDescent="0.25">
      <c r="A347" s="41" t="s">
        <v>943</v>
      </c>
      <c r="B347" s="52">
        <v>17908467</v>
      </c>
      <c r="C347" s="46">
        <v>15000</v>
      </c>
      <c r="D347" s="43" t="s">
        <v>944</v>
      </c>
      <c r="E347" s="35" t="s">
        <v>945</v>
      </c>
      <c r="F347" s="36" t="s">
        <v>946</v>
      </c>
      <c r="G347" s="36" t="s">
        <v>163</v>
      </c>
      <c r="H347" s="36" t="s">
        <v>163</v>
      </c>
      <c r="I347" s="36" t="s">
        <v>163</v>
      </c>
      <c r="J347" s="43" t="s">
        <v>947</v>
      </c>
      <c r="K347" s="43" t="s">
        <v>285</v>
      </c>
      <c r="L347" s="43" t="s">
        <v>141</v>
      </c>
      <c r="M347" s="43" t="s">
        <v>313</v>
      </c>
      <c r="N347">
        <v>40</v>
      </c>
      <c r="O347" s="57">
        <v>42331</v>
      </c>
    </row>
    <row r="348" spans="1:15" ht="26.4" x14ac:dyDescent="0.25">
      <c r="A348" s="41" t="s">
        <v>565</v>
      </c>
      <c r="B348" s="52">
        <v>12397514</v>
      </c>
      <c r="C348" s="46">
        <v>875</v>
      </c>
      <c r="D348" s="43" t="s">
        <v>948</v>
      </c>
      <c r="E348" s="53" t="s">
        <v>593</v>
      </c>
      <c r="F348" s="44" t="s">
        <v>569</v>
      </c>
      <c r="G348" s="36" t="s">
        <v>163</v>
      </c>
      <c r="H348" s="36" t="s">
        <v>163</v>
      </c>
      <c r="I348" s="36" t="s">
        <v>163</v>
      </c>
      <c r="J348" s="43" t="s">
        <v>566</v>
      </c>
      <c r="K348">
        <v>92</v>
      </c>
      <c r="L348" s="43" t="s">
        <v>141</v>
      </c>
      <c r="M348" s="43" t="s">
        <v>313</v>
      </c>
      <c r="N348">
        <v>5</v>
      </c>
      <c r="O348" s="57">
        <v>42324</v>
      </c>
    </row>
    <row r="349" spans="1:15" ht="26.4" x14ac:dyDescent="0.25">
      <c r="A349" s="41" t="s">
        <v>950</v>
      </c>
      <c r="B349" s="52">
        <v>18596601</v>
      </c>
      <c r="C349" s="46">
        <v>1000</v>
      </c>
      <c r="D349" s="43" t="s">
        <v>949</v>
      </c>
      <c r="E349" s="53" t="s">
        <v>593</v>
      </c>
      <c r="F349" s="44" t="s">
        <v>569</v>
      </c>
      <c r="G349" s="36" t="s">
        <v>163</v>
      </c>
      <c r="H349" s="36" t="s">
        <v>163</v>
      </c>
      <c r="I349" s="36" t="s">
        <v>163</v>
      </c>
      <c r="J349" s="43" t="s">
        <v>951</v>
      </c>
      <c r="K349">
        <v>424</v>
      </c>
      <c r="L349" s="43" t="s">
        <v>141</v>
      </c>
      <c r="M349" s="43" t="s">
        <v>313</v>
      </c>
      <c r="N349">
        <v>3</v>
      </c>
      <c r="O349" s="57">
        <v>42324</v>
      </c>
    </row>
    <row r="350" spans="1:15" ht="26.4" x14ac:dyDescent="0.25">
      <c r="A350" s="41" t="s">
        <v>935</v>
      </c>
      <c r="B350" s="52">
        <v>11199679</v>
      </c>
      <c r="C350" s="46">
        <v>5100</v>
      </c>
      <c r="D350" s="43" t="s">
        <v>1060</v>
      </c>
      <c r="E350" s="35" t="s">
        <v>1061</v>
      </c>
      <c r="F350" s="44" t="s">
        <v>569</v>
      </c>
      <c r="G350" s="36" t="s">
        <v>163</v>
      </c>
      <c r="H350" s="36" t="s">
        <v>163</v>
      </c>
      <c r="I350" s="36" t="s">
        <v>163</v>
      </c>
      <c r="J350" s="43" t="s">
        <v>922</v>
      </c>
      <c r="K350" s="35" t="s">
        <v>285</v>
      </c>
      <c r="L350" s="43" t="s">
        <v>141</v>
      </c>
      <c r="M350" s="43" t="s">
        <v>313</v>
      </c>
      <c r="N350">
        <v>30</v>
      </c>
      <c r="O350" s="57">
        <v>42370</v>
      </c>
    </row>
    <row r="351" spans="1:15" ht="26.4" x14ac:dyDescent="0.25">
      <c r="A351" s="41" t="s">
        <v>952</v>
      </c>
      <c r="B351" s="52">
        <v>21400849</v>
      </c>
      <c r="C351" s="46">
        <v>600</v>
      </c>
      <c r="D351" s="43" t="s">
        <v>953</v>
      </c>
      <c r="E351" s="53" t="s">
        <v>593</v>
      </c>
      <c r="F351" s="44" t="s">
        <v>569</v>
      </c>
      <c r="G351" s="36" t="s">
        <v>163</v>
      </c>
      <c r="H351" s="36" t="s">
        <v>163</v>
      </c>
      <c r="I351" s="36" t="s">
        <v>163</v>
      </c>
      <c r="J351" s="43" t="s">
        <v>954</v>
      </c>
      <c r="K351">
        <v>355</v>
      </c>
      <c r="L351" s="43" t="s">
        <v>141</v>
      </c>
      <c r="M351" s="43" t="s">
        <v>313</v>
      </c>
      <c r="N351">
        <v>5</v>
      </c>
      <c r="O351" s="57">
        <v>42332</v>
      </c>
    </row>
    <row r="352" spans="1:15" ht="26.4" x14ac:dyDescent="0.25">
      <c r="A352" s="41" t="s">
        <v>900</v>
      </c>
      <c r="B352" s="52">
        <v>28837107</v>
      </c>
      <c r="C352" s="46">
        <v>3600</v>
      </c>
      <c r="D352" s="43" t="s">
        <v>1066</v>
      </c>
      <c r="E352" s="35" t="s">
        <v>1067</v>
      </c>
      <c r="F352" s="36" t="s">
        <v>1065</v>
      </c>
      <c r="G352" s="36" t="s">
        <v>163</v>
      </c>
      <c r="H352" s="36" t="s">
        <v>163</v>
      </c>
      <c r="I352" s="36" t="s">
        <v>163</v>
      </c>
      <c r="J352" s="43" t="s">
        <v>662</v>
      </c>
      <c r="K352" s="43" t="s">
        <v>285</v>
      </c>
      <c r="L352" s="43" t="s">
        <v>141</v>
      </c>
      <c r="M352" s="43" t="s">
        <v>313</v>
      </c>
      <c r="N352">
        <v>7</v>
      </c>
      <c r="O352" s="57">
        <v>42388</v>
      </c>
    </row>
    <row r="353" spans="1:15" ht="26.4" x14ac:dyDescent="0.25">
      <c r="A353" s="41" t="s">
        <v>908</v>
      </c>
      <c r="B353" s="52">
        <v>23398053</v>
      </c>
      <c r="C353" s="46">
        <v>2500</v>
      </c>
      <c r="D353" s="43" t="s">
        <v>955</v>
      </c>
      <c r="E353" s="35" t="s">
        <v>956</v>
      </c>
      <c r="F353" s="44" t="s">
        <v>569</v>
      </c>
      <c r="G353" s="36" t="s">
        <v>163</v>
      </c>
      <c r="H353" s="36" t="s">
        <v>163</v>
      </c>
      <c r="I353" s="36" t="s">
        <v>163</v>
      </c>
      <c r="J353" s="43" t="s">
        <v>896</v>
      </c>
      <c r="K353">
        <v>195</v>
      </c>
      <c r="L353" s="43" t="s">
        <v>141</v>
      </c>
      <c r="M353" s="43" t="s">
        <v>313</v>
      </c>
      <c r="N353">
        <v>5</v>
      </c>
      <c r="O353" s="57">
        <v>42332</v>
      </c>
    </row>
    <row r="354" spans="1:15" ht="26.4" x14ac:dyDescent="0.25">
      <c r="A354" s="41" t="s">
        <v>957</v>
      </c>
      <c r="B354" s="52">
        <v>17816910</v>
      </c>
      <c r="C354" s="46">
        <v>1500</v>
      </c>
      <c r="D354" s="43" t="s">
        <v>958</v>
      </c>
      <c r="E354" s="53" t="s">
        <v>593</v>
      </c>
      <c r="F354" s="44" t="s">
        <v>569</v>
      </c>
      <c r="G354" s="36" t="s">
        <v>163</v>
      </c>
      <c r="H354" s="36" t="s">
        <v>163</v>
      </c>
      <c r="I354" s="36" t="s">
        <v>163</v>
      </c>
      <c r="J354" s="43" t="s">
        <v>664</v>
      </c>
      <c r="K354">
        <v>64</v>
      </c>
      <c r="L354" s="43" t="s">
        <v>141</v>
      </c>
      <c r="M354" s="43" t="s">
        <v>313</v>
      </c>
      <c r="N354">
        <v>5</v>
      </c>
      <c r="O354" s="57">
        <v>42332</v>
      </c>
    </row>
    <row r="355" spans="1:15" ht="26.4" x14ac:dyDescent="0.25">
      <c r="A355" s="41" t="s">
        <v>938</v>
      </c>
      <c r="B355" s="52">
        <v>94070563</v>
      </c>
      <c r="C355" s="46">
        <v>3000</v>
      </c>
      <c r="D355" s="43" t="s">
        <v>959</v>
      </c>
      <c r="E355" s="53" t="s">
        <v>593</v>
      </c>
      <c r="F355" s="44" t="s">
        <v>569</v>
      </c>
      <c r="G355" s="36" t="s">
        <v>163</v>
      </c>
      <c r="H355" s="36" t="s">
        <v>163</v>
      </c>
      <c r="I355" s="36" t="s">
        <v>163</v>
      </c>
      <c r="J355" s="43" t="s">
        <v>864</v>
      </c>
      <c r="K355" s="35" t="s">
        <v>285</v>
      </c>
      <c r="L355" s="43" t="s">
        <v>723</v>
      </c>
      <c r="M355" s="43" t="s">
        <v>313</v>
      </c>
      <c r="N355">
        <v>30</v>
      </c>
      <c r="O355" s="57">
        <v>42310</v>
      </c>
    </row>
    <row r="356" spans="1:15" ht="26.4" x14ac:dyDescent="0.25">
      <c r="A356" s="41" t="s">
        <v>876</v>
      </c>
      <c r="B356" s="84">
        <v>33017391</v>
      </c>
      <c r="C356" s="46">
        <v>3750</v>
      </c>
      <c r="D356" s="43" t="s">
        <v>962</v>
      </c>
      <c r="E356" s="35" t="s">
        <v>960</v>
      </c>
      <c r="F356" s="36" t="s">
        <v>961</v>
      </c>
      <c r="G356" s="36" t="s">
        <v>163</v>
      </c>
      <c r="H356" s="36" t="s">
        <v>163</v>
      </c>
      <c r="I356" s="36" t="s">
        <v>163</v>
      </c>
      <c r="J356" s="43" t="s">
        <v>878</v>
      </c>
      <c r="K356" s="43" t="s">
        <v>285</v>
      </c>
      <c r="L356" s="43" t="s">
        <v>782</v>
      </c>
      <c r="M356" s="43" t="s">
        <v>313</v>
      </c>
      <c r="N356">
        <v>30</v>
      </c>
      <c r="O356" s="57">
        <v>42310</v>
      </c>
    </row>
    <row r="357" spans="1:15" ht="26.4" x14ac:dyDescent="0.25">
      <c r="A357" s="41" t="s">
        <v>758</v>
      </c>
      <c r="B357" s="52">
        <v>31230172</v>
      </c>
      <c r="C357" s="60">
        <v>3640</v>
      </c>
      <c r="D357" s="43" t="s">
        <v>964</v>
      </c>
      <c r="E357" s="53" t="s">
        <v>963</v>
      </c>
      <c r="F357" s="44" t="s">
        <v>593</v>
      </c>
      <c r="G357" s="36" t="s">
        <v>163</v>
      </c>
      <c r="H357" s="36" t="s">
        <v>163</v>
      </c>
      <c r="I357" s="36" t="s">
        <v>163</v>
      </c>
      <c r="J357" s="43" t="s">
        <v>760</v>
      </c>
      <c r="K357" s="35" t="s">
        <v>285</v>
      </c>
      <c r="L357" s="43" t="s">
        <v>378</v>
      </c>
      <c r="M357" s="43" t="s">
        <v>313</v>
      </c>
      <c r="N357">
        <v>8</v>
      </c>
      <c r="O357" s="57">
        <v>42338</v>
      </c>
    </row>
    <row r="358" spans="1:15" ht="26.4" x14ac:dyDescent="0.25">
      <c r="A358" s="41" t="s">
        <v>917</v>
      </c>
      <c r="B358" s="52">
        <v>36154751</v>
      </c>
      <c r="C358" s="46">
        <v>1575</v>
      </c>
      <c r="D358" s="43" t="s">
        <v>965</v>
      </c>
      <c r="E358" s="35" t="s">
        <v>966</v>
      </c>
      <c r="F358" s="44" t="s">
        <v>569</v>
      </c>
      <c r="G358" s="36" t="s">
        <v>163</v>
      </c>
      <c r="H358" s="36" t="s">
        <v>163</v>
      </c>
      <c r="I358" s="36" t="s">
        <v>163</v>
      </c>
      <c r="J358" s="43" t="s">
        <v>889</v>
      </c>
      <c r="K358" s="35" t="s">
        <v>285</v>
      </c>
      <c r="L358" s="43" t="s">
        <v>141</v>
      </c>
      <c r="M358" s="43" t="s">
        <v>313</v>
      </c>
      <c r="N358">
        <v>18</v>
      </c>
      <c r="O358" s="57">
        <v>42335</v>
      </c>
    </row>
    <row r="359" spans="1:15" ht="26.4" x14ac:dyDescent="0.25">
      <c r="A359" s="41" t="s">
        <v>1384</v>
      </c>
      <c r="B359" s="52">
        <v>31990359</v>
      </c>
      <c r="C359" s="46">
        <v>400</v>
      </c>
      <c r="D359" s="43" t="s">
        <v>968</v>
      </c>
      <c r="E359" s="35" t="s">
        <v>969</v>
      </c>
      <c r="F359" s="44" t="s">
        <v>569</v>
      </c>
      <c r="G359" s="36" t="s">
        <v>163</v>
      </c>
      <c r="H359" s="36" t="s">
        <v>163</v>
      </c>
      <c r="I359" s="36" t="s">
        <v>163</v>
      </c>
      <c r="J359" s="43" t="s">
        <v>970</v>
      </c>
      <c r="K359" s="35" t="s">
        <v>285</v>
      </c>
      <c r="L359" s="43" t="s">
        <v>723</v>
      </c>
      <c r="M359" s="43" t="s">
        <v>313</v>
      </c>
      <c r="N359">
        <v>2</v>
      </c>
      <c r="O359" s="57">
        <v>42347</v>
      </c>
    </row>
    <row r="360" spans="1:15" ht="26.4" x14ac:dyDescent="0.25">
      <c r="A360" s="41" t="s">
        <v>565</v>
      </c>
      <c r="B360" s="52">
        <v>12397514</v>
      </c>
      <c r="C360" s="46">
        <v>800</v>
      </c>
      <c r="D360" s="43" t="s">
        <v>1042</v>
      </c>
      <c r="E360" s="53" t="s">
        <v>593</v>
      </c>
      <c r="F360" s="44" t="s">
        <v>569</v>
      </c>
      <c r="G360" s="36" t="s">
        <v>163</v>
      </c>
      <c r="H360" s="36" t="s">
        <v>163</v>
      </c>
      <c r="I360" s="36" t="s">
        <v>163</v>
      </c>
      <c r="J360" s="43" t="s">
        <v>566</v>
      </c>
      <c r="K360">
        <v>92</v>
      </c>
      <c r="L360" s="43" t="s">
        <v>141</v>
      </c>
      <c r="M360" s="43" t="s">
        <v>313</v>
      </c>
      <c r="N360">
        <v>5</v>
      </c>
      <c r="O360" s="57">
        <v>42373</v>
      </c>
    </row>
    <row r="361" spans="1:15" ht="26.4" x14ac:dyDescent="0.25">
      <c r="A361" s="41" t="s">
        <v>904</v>
      </c>
      <c r="B361" s="52">
        <v>17634681</v>
      </c>
      <c r="C361" s="46">
        <v>2100</v>
      </c>
      <c r="D361" s="43" t="s">
        <v>1044</v>
      </c>
      <c r="E361" s="35" t="s">
        <v>1043</v>
      </c>
      <c r="F361" s="44" t="s">
        <v>569</v>
      </c>
      <c r="G361" s="36" t="s">
        <v>163</v>
      </c>
      <c r="H361" s="36" t="s">
        <v>163</v>
      </c>
      <c r="I361" s="36" t="s">
        <v>163</v>
      </c>
      <c r="J361" s="43" t="s">
        <v>905</v>
      </c>
      <c r="K361">
        <v>358</v>
      </c>
      <c r="L361" s="43" t="s">
        <v>141</v>
      </c>
      <c r="M361" s="43" t="s">
        <v>313</v>
      </c>
      <c r="N361">
        <v>3</v>
      </c>
      <c r="O361" s="57">
        <v>42375</v>
      </c>
    </row>
    <row r="362" spans="1:15" ht="26.4" x14ac:dyDescent="0.25">
      <c r="A362" s="41" t="s">
        <v>971</v>
      </c>
      <c r="B362" s="52">
        <v>23869055</v>
      </c>
      <c r="C362" s="46">
        <v>52000</v>
      </c>
      <c r="D362" s="66" t="s">
        <v>975</v>
      </c>
      <c r="E362" s="35" t="s">
        <v>976</v>
      </c>
      <c r="F362" s="65" t="s">
        <v>977</v>
      </c>
      <c r="G362" s="36" t="s">
        <v>163</v>
      </c>
      <c r="H362" s="36" t="s">
        <v>163</v>
      </c>
      <c r="I362" s="36" t="s">
        <v>163</v>
      </c>
      <c r="J362" s="43" t="s">
        <v>972</v>
      </c>
      <c r="K362" s="35" t="s">
        <v>973</v>
      </c>
      <c r="L362" s="43" t="s">
        <v>974</v>
      </c>
      <c r="M362" s="43" t="s">
        <v>313</v>
      </c>
      <c r="N362">
        <v>15</v>
      </c>
      <c r="O362" s="57">
        <v>42352</v>
      </c>
    </row>
    <row r="363" spans="1:15" ht="26.4" x14ac:dyDescent="0.25">
      <c r="A363" s="41" t="s">
        <v>894</v>
      </c>
      <c r="B363" s="84">
        <v>36917651</v>
      </c>
      <c r="C363" s="46">
        <v>1000</v>
      </c>
      <c r="D363" s="43" t="s">
        <v>978</v>
      </c>
      <c r="E363" s="35" t="s">
        <v>979</v>
      </c>
      <c r="G363" s="36" t="s">
        <v>163</v>
      </c>
      <c r="H363" s="36" t="s">
        <v>163</v>
      </c>
      <c r="I363" s="36" t="s">
        <v>163</v>
      </c>
      <c r="J363" s="43" t="s">
        <v>896</v>
      </c>
      <c r="K363">
        <v>471</v>
      </c>
      <c r="L363" s="43" t="s">
        <v>141</v>
      </c>
      <c r="M363" s="43" t="s">
        <v>313</v>
      </c>
      <c r="N363">
        <v>3</v>
      </c>
      <c r="O363" s="57">
        <v>42355</v>
      </c>
    </row>
    <row r="364" spans="1:15" ht="26.4" x14ac:dyDescent="0.25">
      <c r="A364" s="41" t="s">
        <v>565</v>
      </c>
      <c r="B364" s="84">
        <v>12397514</v>
      </c>
      <c r="C364" s="46">
        <v>980</v>
      </c>
      <c r="D364" s="43" t="s">
        <v>981</v>
      </c>
      <c r="E364" t="e">
        <f>------------------------------------------------------------------------------------------------------------------------G365ca</f>
        <v>#NAME?</v>
      </c>
      <c r="G364" s="36" t="s">
        <v>163</v>
      </c>
      <c r="H364" s="36" t="s">
        <v>163</v>
      </c>
      <c r="I364" s="36" t="s">
        <v>163</v>
      </c>
      <c r="J364" s="43" t="s">
        <v>566</v>
      </c>
      <c r="K364">
        <v>92</v>
      </c>
      <c r="L364" s="43" t="s">
        <v>141</v>
      </c>
      <c r="M364" s="43" t="s">
        <v>313</v>
      </c>
      <c r="N364">
        <v>5</v>
      </c>
      <c r="O364" s="57">
        <v>42360</v>
      </c>
    </row>
    <row r="365" spans="1:15" ht="26.4" x14ac:dyDescent="0.25">
      <c r="A365" s="41" t="s">
        <v>982</v>
      </c>
      <c r="B365" s="84">
        <v>22008433</v>
      </c>
      <c r="C365" s="46">
        <v>6275</v>
      </c>
      <c r="D365" s="43" t="s">
        <v>1086</v>
      </c>
      <c r="E365" s="35" t="s">
        <v>989</v>
      </c>
      <c r="F365" s="68" t="s">
        <v>990</v>
      </c>
      <c r="G365" s="36" t="s">
        <v>163</v>
      </c>
      <c r="H365" s="36" t="s">
        <v>163</v>
      </c>
      <c r="I365" s="36" t="s">
        <v>163</v>
      </c>
      <c r="J365" s="43" t="s">
        <v>983</v>
      </c>
      <c r="L365" s="43" t="s">
        <v>141</v>
      </c>
      <c r="M365" s="43" t="s">
        <v>313</v>
      </c>
      <c r="N365">
        <v>31</v>
      </c>
      <c r="O365" s="57">
        <v>42401</v>
      </c>
    </row>
    <row r="366" spans="1:15" ht="26.4" x14ac:dyDescent="0.25">
      <c r="A366" t="s">
        <v>984</v>
      </c>
      <c r="B366" s="84">
        <v>23398053</v>
      </c>
      <c r="C366" s="46">
        <v>1500</v>
      </c>
      <c r="D366" s="43" t="s">
        <v>985</v>
      </c>
      <c r="E366" s="35" t="s">
        <v>986</v>
      </c>
      <c r="G366" s="36" t="s">
        <v>163</v>
      </c>
      <c r="H366" s="36" t="s">
        <v>163</v>
      </c>
      <c r="I366" s="36" t="s">
        <v>163</v>
      </c>
      <c r="J366" s="43" t="s">
        <v>896</v>
      </c>
      <c r="K366">
        <v>195</v>
      </c>
      <c r="L366" s="43" t="s">
        <v>141</v>
      </c>
      <c r="M366" s="43" t="s">
        <v>313</v>
      </c>
      <c r="N366">
        <v>3</v>
      </c>
      <c r="O366" s="57">
        <v>42352</v>
      </c>
    </row>
    <row r="367" spans="1:15" ht="26.4" x14ac:dyDescent="0.25">
      <c r="A367" s="67" t="s">
        <v>984</v>
      </c>
      <c r="B367" s="84">
        <v>23398053</v>
      </c>
      <c r="C367" s="46">
        <v>900</v>
      </c>
      <c r="D367" s="43" t="s">
        <v>987</v>
      </c>
      <c r="E367">
        <f>------------------------------------------------------------------------------------------------------------------------J36820</f>
        <v>0</v>
      </c>
      <c r="G367" s="36" t="s">
        <v>163</v>
      </c>
      <c r="H367" s="36" t="s">
        <v>163</v>
      </c>
      <c r="I367" s="36" t="s">
        <v>163</v>
      </c>
      <c r="J367" s="43" t="s">
        <v>896</v>
      </c>
      <c r="K367">
        <v>195</v>
      </c>
      <c r="L367" s="43" t="s">
        <v>141</v>
      </c>
      <c r="M367" s="43" t="s">
        <v>313</v>
      </c>
      <c r="N367">
        <v>2</v>
      </c>
      <c r="O367" s="57">
        <v>42355</v>
      </c>
    </row>
    <row r="368" spans="1:15" ht="26.4" x14ac:dyDescent="0.25">
      <c r="A368" s="67" t="s">
        <v>984</v>
      </c>
      <c r="B368" s="84">
        <v>23398053</v>
      </c>
      <c r="C368" s="46">
        <v>2000</v>
      </c>
      <c r="D368" s="43" t="s">
        <v>1040</v>
      </c>
      <c r="E368" s="35" t="s">
        <v>1041</v>
      </c>
      <c r="F368" s="35" t="s">
        <v>994</v>
      </c>
      <c r="G368" s="36" t="s">
        <v>163</v>
      </c>
      <c r="H368" s="36" t="s">
        <v>163</v>
      </c>
      <c r="I368" s="36" t="s">
        <v>163</v>
      </c>
      <c r="J368" s="43" t="s">
        <v>896</v>
      </c>
      <c r="K368">
        <v>195</v>
      </c>
      <c r="L368" s="43" t="s">
        <v>141</v>
      </c>
      <c r="M368" s="43" t="s">
        <v>313</v>
      </c>
      <c r="N368">
        <v>5</v>
      </c>
      <c r="O368" s="57">
        <v>42364</v>
      </c>
    </row>
    <row r="369" spans="1:15" ht="26.4" x14ac:dyDescent="0.25">
      <c r="A369" s="67" t="s">
        <v>988</v>
      </c>
      <c r="B369" s="84">
        <v>20287104</v>
      </c>
      <c r="C369" s="46">
        <v>1800</v>
      </c>
      <c r="D369" s="43" t="s">
        <v>992</v>
      </c>
      <c r="E369" s="35" t="s">
        <v>993</v>
      </c>
      <c r="F369" s="35" t="s">
        <v>994</v>
      </c>
      <c r="G369" s="36" t="s">
        <v>163</v>
      </c>
      <c r="H369" s="36" t="s">
        <v>163</v>
      </c>
      <c r="I369" s="36" t="s">
        <v>163</v>
      </c>
      <c r="J369" s="43" t="s">
        <v>896</v>
      </c>
      <c r="K369">
        <v>880</v>
      </c>
      <c r="L369" s="43" t="s">
        <v>141</v>
      </c>
      <c r="M369" s="43" t="s">
        <v>313</v>
      </c>
      <c r="N369">
        <v>4</v>
      </c>
      <c r="O369" s="57">
        <v>42352</v>
      </c>
    </row>
    <row r="370" spans="1:15" ht="26.4" x14ac:dyDescent="0.25">
      <c r="A370" s="67" t="s">
        <v>995</v>
      </c>
      <c r="B370" s="84">
        <v>41088732</v>
      </c>
      <c r="C370" s="46">
        <v>1620</v>
      </c>
      <c r="D370" s="43" t="s">
        <v>999</v>
      </c>
      <c r="E370" s="35" t="s">
        <v>998</v>
      </c>
      <c r="F370" s="35" t="s">
        <v>996</v>
      </c>
      <c r="G370" s="36" t="s">
        <v>163</v>
      </c>
      <c r="H370" s="36" t="s">
        <v>163</v>
      </c>
      <c r="I370" s="36" t="s">
        <v>163</v>
      </c>
      <c r="J370" s="43" t="s">
        <v>997</v>
      </c>
      <c r="K370" s="35" t="s">
        <v>143</v>
      </c>
      <c r="L370" s="43" t="s">
        <v>141</v>
      </c>
      <c r="M370" s="43" t="s">
        <v>313</v>
      </c>
      <c r="N370">
        <v>15</v>
      </c>
      <c r="O370" s="57">
        <v>42361</v>
      </c>
    </row>
    <row r="371" spans="1:15" ht="26.4" x14ac:dyDescent="0.25">
      <c r="A371" s="67" t="s">
        <v>894</v>
      </c>
      <c r="B371" s="84">
        <v>36917651</v>
      </c>
      <c r="C371" s="46">
        <v>800</v>
      </c>
      <c r="D371" s="43" t="s">
        <v>1002</v>
      </c>
      <c r="E371" s="35" t="s">
        <v>1000</v>
      </c>
      <c r="F371" s="35" t="s">
        <v>1001</v>
      </c>
      <c r="G371" s="36" t="s">
        <v>163</v>
      </c>
      <c r="H371" s="36" t="s">
        <v>163</v>
      </c>
      <c r="I371" s="36" t="s">
        <v>163</v>
      </c>
      <c r="J371" s="43" t="s">
        <v>896</v>
      </c>
      <c r="K371" s="35">
        <v>471</v>
      </c>
      <c r="L371" s="43" t="s">
        <v>141</v>
      </c>
      <c r="M371" s="43" t="s">
        <v>313</v>
      </c>
      <c r="N371">
        <v>7</v>
      </c>
      <c r="O371" s="57">
        <v>42366</v>
      </c>
    </row>
    <row r="372" spans="1:15" ht="26.4" x14ac:dyDescent="0.25">
      <c r="A372" s="35" t="s">
        <v>1003</v>
      </c>
      <c r="B372" s="84">
        <v>93940424</v>
      </c>
      <c r="C372" s="46">
        <v>3750</v>
      </c>
      <c r="D372" s="43" t="s">
        <v>1006</v>
      </c>
      <c r="E372" s="35" t="s">
        <v>1007</v>
      </c>
      <c r="F372" s="35" t="s">
        <v>1008</v>
      </c>
      <c r="G372" s="36" t="s">
        <v>163</v>
      </c>
      <c r="H372" s="36" t="s">
        <v>163</v>
      </c>
      <c r="I372" s="36" t="s">
        <v>163</v>
      </c>
      <c r="J372" s="43" t="s">
        <v>1004</v>
      </c>
      <c r="L372" s="43" t="s">
        <v>1005</v>
      </c>
      <c r="M372" s="43" t="s">
        <v>313</v>
      </c>
      <c r="N372">
        <v>4</v>
      </c>
      <c r="O372" s="57">
        <v>42359</v>
      </c>
    </row>
    <row r="373" spans="1:15" ht="26.4" x14ac:dyDescent="0.25">
      <c r="A373" s="67" t="s">
        <v>1003</v>
      </c>
      <c r="B373" s="84">
        <v>93940424</v>
      </c>
      <c r="C373" s="46">
        <v>2500</v>
      </c>
      <c r="D373" s="43" t="s">
        <v>1009</v>
      </c>
      <c r="E373" s="35" t="s">
        <v>1010</v>
      </c>
      <c r="F373" s="35" t="s">
        <v>1008</v>
      </c>
      <c r="G373" s="36" t="s">
        <v>163</v>
      </c>
      <c r="H373" s="36" t="s">
        <v>163</v>
      </c>
      <c r="I373" s="36" t="s">
        <v>163</v>
      </c>
      <c r="J373" s="43" t="s">
        <v>1004</v>
      </c>
      <c r="L373" s="43" t="s">
        <v>974</v>
      </c>
      <c r="M373" s="43" t="s">
        <v>313</v>
      </c>
      <c r="N373">
        <v>4</v>
      </c>
      <c r="O373" s="57">
        <v>42359</v>
      </c>
    </row>
    <row r="374" spans="1:15" ht="26.4" x14ac:dyDescent="0.25">
      <c r="A374" s="67" t="s">
        <v>1011</v>
      </c>
      <c r="B374" s="84">
        <v>17634681</v>
      </c>
      <c r="C374" s="46">
        <v>2100</v>
      </c>
      <c r="D374" s="43" t="s">
        <v>1012</v>
      </c>
      <c r="E374" s="35" t="s">
        <v>1013</v>
      </c>
      <c r="F374" s="35" t="s">
        <v>996</v>
      </c>
      <c r="G374" s="36" t="s">
        <v>163</v>
      </c>
      <c r="H374" s="36" t="s">
        <v>163</v>
      </c>
      <c r="I374" s="36" t="s">
        <v>163</v>
      </c>
      <c r="J374" s="43" t="s">
        <v>905</v>
      </c>
      <c r="K374">
        <v>348</v>
      </c>
      <c r="L374" s="43" t="s">
        <v>141</v>
      </c>
      <c r="M374" s="43" t="s">
        <v>313</v>
      </c>
      <c r="N374">
        <v>3</v>
      </c>
      <c r="O374" s="57">
        <v>42359</v>
      </c>
    </row>
    <row r="375" spans="1:15" ht="26.4" x14ac:dyDescent="0.25">
      <c r="A375" s="67" t="s">
        <v>1325</v>
      </c>
      <c r="C375" s="46">
        <v>25000</v>
      </c>
      <c r="D375" s="43" t="s">
        <v>1014</v>
      </c>
      <c r="E375" s="35" t="s">
        <v>1015</v>
      </c>
      <c r="F375" s="35" t="s">
        <v>994</v>
      </c>
      <c r="G375" s="36" t="s">
        <v>163</v>
      </c>
      <c r="H375" s="36" t="s">
        <v>163</v>
      </c>
      <c r="I375" s="36" t="s">
        <v>163</v>
      </c>
      <c r="L375" s="43" t="s">
        <v>141</v>
      </c>
      <c r="M375" s="43" t="s">
        <v>313</v>
      </c>
    </row>
    <row r="376" spans="1:15" ht="26.4" x14ac:dyDescent="0.25">
      <c r="A376" s="67" t="s">
        <v>1016</v>
      </c>
      <c r="B376" s="84">
        <v>39025795</v>
      </c>
      <c r="C376" s="46">
        <v>1960</v>
      </c>
      <c r="D376" s="43" t="s">
        <v>1017</v>
      </c>
      <c r="E376" s="35" t="s">
        <v>1018</v>
      </c>
      <c r="F376" s="35" t="s">
        <v>996</v>
      </c>
      <c r="G376" s="36" t="s">
        <v>163</v>
      </c>
      <c r="H376" s="36" t="s">
        <v>163</v>
      </c>
      <c r="I376" s="36" t="s">
        <v>163</v>
      </c>
      <c r="J376" s="43" t="s">
        <v>664</v>
      </c>
      <c r="K376">
        <v>78</v>
      </c>
      <c r="L376" s="43" t="s">
        <v>141</v>
      </c>
      <c r="M376" s="43" t="s">
        <v>313</v>
      </c>
      <c r="N376">
        <v>21</v>
      </c>
      <c r="O376" s="57">
        <v>42348</v>
      </c>
    </row>
    <row r="377" spans="1:15" ht="26.4" x14ac:dyDescent="0.25">
      <c r="A377" s="67" t="s">
        <v>1019</v>
      </c>
      <c r="B377" s="84">
        <v>40025800</v>
      </c>
      <c r="C377" s="46">
        <v>1540</v>
      </c>
      <c r="D377" s="43" t="s">
        <v>1020</v>
      </c>
      <c r="E377" s="35" t="s">
        <v>1021</v>
      </c>
      <c r="F377" s="35" t="s">
        <v>994</v>
      </c>
      <c r="G377" s="36" t="s">
        <v>163</v>
      </c>
      <c r="H377" s="36" t="s">
        <v>163</v>
      </c>
      <c r="I377" s="36" t="s">
        <v>163</v>
      </c>
      <c r="J377" s="43" t="s">
        <v>1022</v>
      </c>
      <c r="K377">
        <v>267</v>
      </c>
      <c r="L377" s="43" t="s">
        <v>141</v>
      </c>
      <c r="M377" s="43" t="s">
        <v>313</v>
      </c>
      <c r="N377">
        <v>21</v>
      </c>
      <c r="O377" s="57">
        <v>42348</v>
      </c>
    </row>
    <row r="378" spans="1:15" ht="26.4" x14ac:dyDescent="0.25">
      <c r="A378" s="67" t="s">
        <v>1023</v>
      </c>
      <c r="B378" s="84">
        <v>39474968</v>
      </c>
      <c r="C378" s="46">
        <v>1260</v>
      </c>
      <c r="D378" s="43" t="s">
        <v>1024</v>
      </c>
      <c r="E378" s="35" t="s">
        <v>1025</v>
      </c>
      <c r="F378" s="35" t="s">
        <v>996</v>
      </c>
      <c r="G378" s="36" t="s">
        <v>163</v>
      </c>
      <c r="H378" s="36" t="s">
        <v>163</v>
      </c>
      <c r="I378" s="36" t="s">
        <v>163</v>
      </c>
      <c r="J378" s="43" t="s">
        <v>983</v>
      </c>
      <c r="L378" s="43" t="s">
        <v>141</v>
      </c>
      <c r="M378" s="43" t="s">
        <v>313</v>
      </c>
      <c r="N378">
        <v>21</v>
      </c>
      <c r="O378" s="57">
        <v>42348</v>
      </c>
    </row>
    <row r="379" spans="1:15" ht="26.4" x14ac:dyDescent="0.25">
      <c r="A379" s="67" t="s">
        <v>1030</v>
      </c>
      <c r="B379" s="84">
        <v>39474938</v>
      </c>
      <c r="C379" s="46">
        <v>1680</v>
      </c>
      <c r="D379" s="43" t="s">
        <v>1031</v>
      </c>
      <c r="E379" s="35" t="s">
        <v>1032</v>
      </c>
      <c r="F379" s="35" t="s">
        <v>994</v>
      </c>
      <c r="G379" s="36" t="s">
        <v>163</v>
      </c>
      <c r="H379" s="36" t="s">
        <v>163</v>
      </c>
      <c r="I379" s="36" t="s">
        <v>163</v>
      </c>
      <c r="J379" s="43" t="s">
        <v>1033</v>
      </c>
      <c r="L379" s="43" t="s">
        <v>141</v>
      </c>
      <c r="M379" s="43" t="s">
        <v>313</v>
      </c>
      <c r="N379">
        <v>21</v>
      </c>
      <c r="O379" s="57">
        <v>42348</v>
      </c>
    </row>
    <row r="380" spans="1:15" ht="26.4" x14ac:dyDescent="0.25">
      <c r="A380" s="67" t="s">
        <v>1034</v>
      </c>
      <c r="B380" s="84">
        <v>34274530</v>
      </c>
      <c r="C380" s="46">
        <f>98*37.78</f>
        <v>3702.44</v>
      </c>
      <c r="D380" s="43" t="s">
        <v>1048</v>
      </c>
      <c r="E380" s="35" t="s">
        <v>1036</v>
      </c>
      <c r="F380" s="35" t="s">
        <v>990</v>
      </c>
      <c r="G380" s="36" t="s">
        <v>163</v>
      </c>
      <c r="H380" s="36" t="s">
        <v>163</v>
      </c>
      <c r="I380" s="36" t="s">
        <v>163</v>
      </c>
      <c r="J380" s="43" t="s">
        <v>1035</v>
      </c>
      <c r="K380">
        <v>269</v>
      </c>
      <c r="L380" s="43" t="s">
        <v>141</v>
      </c>
      <c r="M380" s="43" t="s">
        <v>313</v>
      </c>
      <c r="N380">
        <v>13</v>
      </c>
      <c r="O380" s="57">
        <v>42363</v>
      </c>
    </row>
    <row r="381" spans="1:15" ht="26.4" x14ac:dyDescent="0.25">
      <c r="A381" s="67" t="s">
        <v>1037</v>
      </c>
      <c r="B381" s="84">
        <v>32157709</v>
      </c>
      <c r="C381" s="46">
        <f>14*37.78</f>
        <v>528.92000000000007</v>
      </c>
      <c r="D381" s="43" t="s">
        <v>1049</v>
      </c>
      <c r="E381" s="35" t="s">
        <v>1036</v>
      </c>
      <c r="F381" s="35" t="s">
        <v>990</v>
      </c>
      <c r="G381" s="36" t="s">
        <v>163</v>
      </c>
      <c r="H381" s="36" t="s">
        <v>163</v>
      </c>
      <c r="I381" s="36" t="s">
        <v>163</v>
      </c>
      <c r="J381" s="43" t="s">
        <v>1038</v>
      </c>
      <c r="L381" s="43" t="s">
        <v>141</v>
      </c>
      <c r="M381" s="43" t="s">
        <v>313</v>
      </c>
      <c r="N381">
        <v>2</v>
      </c>
      <c r="O381" s="69" t="s">
        <v>1039</v>
      </c>
    </row>
    <row r="382" spans="1:15" ht="26.4" x14ac:dyDescent="0.25">
      <c r="A382" s="67" t="s">
        <v>565</v>
      </c>
      <c r="B382" s="84">
        <v>12397514</v>
      </c>
      <c r="C382" s="46">
        <v>1700</v>
      </c>
      <c r="D382" s="43" t="s">
        <v>1118</v>
      </c>
      <c r="E382" s="35" t="s">
        <v>1036</v>
      </c>
      <c r="F382" s="35" t="s">
        <v>990</v>
      </c>
      <c r="G382" s="36" t="s">
        <v>163</v>
      </c>
      <c r="H382" s="36" t="s">
        <v>163</v>
      </c>
      <c r="I382" s="36" t="s">
        <v>163</v>
      </c>
      <c r="J382" s="43" t="s">
        <v>566</v>
      </c>
      <c r="K382">
        <v>92</v>
      </c>
      <c r="L382" s="43" t="s">
        <v>141</v>
      </c>
      <c r="M382" s="43" t="s">
        <v>313</v>
      </c>
      <c r="N382">
        <v>5</v>
      </c>
      <c r="O382" s="57">
        <v>42409</v>
      </c>
    </row>
    <row r="383" spans="1:15" ht="26.4" x14ac:dyDescent="0.25">
      <c r="A383" s="67" t="s">
        <v>1050</v>
      </c>
      <c r="B383" s="84">
        <v>10595413</v>
      </c>
      <c r="C383" s="46">
        <v>2550</v>
      </c>
      <c r="D383" s="43" t="s">
        <v>1051</v>
      </c>
      <c r="E383" s="35" t="s">
        <v>1036</v>
      </c>
      <c r="F383" s="35" t="s">
        <v>994</v>
      </c>
      <c r="G383" s="36" t="s">
        <v>163</v>
      </c>
      <c r="H383" s="36" t="s">
        <v>163</v>
      </c>
      <c r="I383" s="36" t="s">
        <v>163</v>
      </c>
      <c r="J383" s="43" t="s">
        <v>1052</v>
      </c>
      <c r="K383">
        <v>532</v>
      </c>
      <c r="L383" s="43" t="s">
        <v>141</v>
      </c>
      <c r="M383" s="43" t="s">
        <v>313</v>
      </c>
      <c r="N383">
        <v>13</v>
      </c>
      <c r="O383" s="57">
        <v>42374</v>
      </c>
    </row>
    <row r="384" spans="1:15" ht="26.4" x14ac:dyDescent="0.25">
      <c r="A384" s="67" t="s">
        <v>1053</v>
      </c>
      <c r="B384" s="84">
        <v>16727062</v>
      </c>
      <c r="C384" s="46">
        <v>1000</v>
      </c>
      <c r="D384" s="43" t="s">
        <v>1054</v>
      </c>
      <c r="E384" s="35" t="s">
        <v>1036</v>
      </c>
      <c r="F384" s="35" t="s">
        <v>994</v>
      </c>
      <c r="G384" s="36" t="s">
        <v>163</v>
      </c>
      <c r="H384" s="36" t="s">
        <v>163</v>
      </c>
      <c r="I384" s="36" t="s">
        <v>163</v>
      </c>
      <c r="J384" s="43" t="s">
        <v>1055</v>
      </c>
      <c r="K384">
        <v>411</v>
      </c>
      <c r="L384" s="43" t="s">
        <v>141</v>
      </c>
      <c r="M384" s="43" t="s">
        <v>313</v>
      </c>
      <c r="N384">
        <v>1</v>
      </c>
      <c r="O384" s="57">
        <v>42381</v>
      </c>
    </row>
    <row r="385" spans="1:15" ht="26.4" x14ac:dyDescent="0.25">
      <c r="A385" s="67" t="s">
        <v>894</v>
      </c>
      <c r="B385" s="84">
        <v>36917651</v>
      </c>
      <c r="C385" s="46">
        <v>10000</v>
      </c>
      <c r="D385" s="43" t="s">
        <v>1057</v>
      </c>
      <c r="E385" s="35" t="s">
        <v>1058</v>
      </c>
      <c r="F385" s="35" t="s">
        <v>1059</v>
      </c>
      <c r="G385" s="36" t="s">
        <v>163</v>
      </c>
      <c r="H385" s="36" t="s">
        <v>163</v>
      </c>
      <c r="I385" s="36" t="s">
        <v>163</v>
      </c>
      <c r="J385" s="43" t="s">
        <v>1056</v>
      </c>
      <c r="K385">
        <v>471</v>
      </c>
      <c r="L385" s="43" t="s">
        <v>141</v>
      </c>
      <c r="M385" s="43" t="s">
        <v>313</v>
      </c>
      <c r="N385">
        <v>40</v>
      </c>
      <c r="O385" s="57">
        <v>42387</v>
      </c>
    </row>
    <row r="386" spans="1:15" ht="26.4" x14ac:dyDescent="0.25">
      <c r="A386" s="41" t="s">
        <v>1068</v>
      </c>
      <c r="B386" s="84">
        <v>33017391</v>
      </c>
      <c r="C386" s="46">
        <v>10600</v>
      </c>
      <c r="D386" s="43" t="s">
        <v>1062</v>
      </c>
      <c r="E386" s="35" t="s">
        <v>1063</v>
      </c>
      <c r="F386" s="36" t="s">
        <v>1064</v>
      </c>
      <c r="G386" s="36" t="s">
        <v>163</v>
      </c>
      <c r="H386" s="36" t="s">
        <v>163</v>
      </c>
      <c r="I386" s="36" t="s">
        <v>163</v>
      </c>
      <c r="J386" s="43" t="s">
        <v>878</v>
      </c>
      <c r="K386" s="43" t="s">
        <v>285</v>
      </c>
      <c r="L386" s="43" t="s">
        <v>782</v>
      </c>
      <c r="M386" s="43" t="s">
        <v>313</v>
      </c>
      <c r="N386">
        <v>65</v>
      </c>
      <c r="O386" s="57">
        <v>42323</v>
      </c>
    </row>
    <row r="387" spans="1:15" ht="26.4" x14ac:dyDescent="0.25">
      <c r="A387" s="67" t="s">
        <v>1011</v>
      </c>
      <c r="B387" s="87">
        <v>17634681</v>
      </c>
      <c r="C387" s="46">
        <v>8000</v>
      </c>
      <c r="D387" s="43" t="s">
        <v>1069</v>
      </c>
      <c r="E387" s="35" t="s">
        <v>1036</v>
      </c>
      <c r="F387" s="35" t="s">
        <v>994</v>
      </c>
      <c r="G387" s="36" t="s">
        <v>163</v>
      </c>
      <c r="H387" s="36" t="s">
        <v>163</v>
      </c>
      <c r="I387" s="36" t="s">
        <v>163</v>
      </c>
      <c r="J387" s="43" t="s">
        <v>905</v>
      </c>
      <c r="K387">
        <v>348</v>
      </c>
      <c r="L387" s="43" t="s">
        <v>141</v>
      </c>
      <c r="M387" s="43" t="s">
        <v>313</v>
      </c>
      <c r="N387">
        <v>15</v>
      </c>
      <c r="O387" s="57">
        <v>42394</v>
      </c>
    </row>
    <row r="388" spans="1:15" ht="26.4" x14ac:dyDescent="0.25">
      <c r="A388" s="67" t="s">
        <v>1070</v>
      </c>
      <c r="B388" s="84">
        <v>38160404</v>
      </c>
      <c r="C388" s="46">
        <v>2625</v>
      </c>
      <c r="D388" s="43" t="s">
        <v>1071</v>
      </c>
      <c r="E388" s="35" t="s">
        <v>1072</v>
      </c>
      <c r="F388" s="35" t="s">
        <v>994</v>
      </c>
      <c r="G388" s="36" t="s">
        <v>163</v>
      </c>
      <c r="H388" s="36" t="s">
        <v>163</v>
      </c>
      <c r="I388" s="36" t="s">
        <v>163</v>
      </c>
      <c r="J388" s="43" t="s">
        <v>752</v>
      </c>
      <c r="K388" t="s">
        <v>143</v>
      </c>
      <c r="L388" s="43" t="s">
        <v>1073</v>
      </c>
      <c r="M388" s="43" t="s">
        <v>313</v>
      </c>
      <c r="N388">
        <v>12</v>
      </c>
      <c r="O388" s="57">
        <v>42373</v>
      </c>
    </row>
    <row r="389" spans="1:15" ht="26.4" x14ac:dyDescent="0.25">
      <c r="A389" s="67" t="s">
        <v>1074</v>
      </c>
      <c r="B389" s="84">
        <v>36391369</v>
      </c>
      <c r="C389" s="46">
        <v>2730</v>
      </c>
      <c r="D389" s="43" t="s">
        <v>1071</v>
      </c>
      <c r="E389" s="35" t="s">
        <v>1075</v>
      </c>
      <c r="F389" s="35" t="s">
        <v>994</v>
      </c>
      <c r="G389" s="36" t="s">
        <v>163</v>
      </c>
      <c r="H389" s="36" t="s">
        <v>163</v>
      </c>
      <c r="I389" s="36" t="s">
        <v>163</v>
      </c>
      <c r="J389" s="43" t="s">
        <v>1076</v>
      </c>
      <c r="K389" t="s">
        <v>143</v>
      </c>
      <c r="L389" s="43" t="s">
        <v>1077</v>
      </c>
      <c r="M389" s="43" t="s">
        <v>313</v>
      </c>
      <c r="N389">
        <v>15</v>
      </c>
      <c r="O389" s="57">
        <v>42373</v>
      </c>
    </row>
    <row r="390" spans="1:15" ht="26.4" x14ac:dyDescent="0.25">
      <c r="A390" s="67" t="s">
        <v>1078</v>
      </c>
      <c r="B390" s="84">
        <v>38111778</v>
      </c>
      <c r="C390" s="46">
        <v>2730</v>
      </c>
      <c r="D390" s="43" t="s">
        <v>1071</v>
      </c>
      <c r="E390" s="35" t="s">
        <v>1075</v>
      </c>
      <c r="F390" s="35" t="s">
        <v>994</v>
      </c>
      <c r="G390" s="36" t="s">
        <v>163</v>
      </c>
      <c r="H390" s="36" t="s">
        <v>163</v>
      </c>
      <c r="I390" s="36" t="s">
        <v>163</v>
      </c>
      <c r="J390" s="43" t="s">
        <v>752</v>
      </c>
      <c r="K390" t="s">
        <v>143</v>
      </c>
      <c r="L390" s="43" t="s">
        <v>1073</v>
      </c>
      <c r="M390" s="43" t="s">
        <v>313</v>
      </c>
      <c r="N390">
        <v>15</v>
      </c>
      <c r="O390" s="57">
        <v>42373</v>
      </c>
    </row>
    <row r="391" spans="1:15" ht="26.4" x14ac:dyDescent="0.25">
      <c r="A391" s="67" t="s">
        <v>1079</v>
      </c>
      <c r="B391" s="84">
        <v>36604699</v>
      </c>
      <c r="C391" s="46">
        <f>78*35</f>
        <v>2730</v>
      </c>
      <c r="D391" s="43" t="s">
        <v>1071</v>
      </c>
      <c r="E391" s="35" t="s">
        <v>1075</v>
      </c>
      <c r="F391" s="35" t="s">
        <v>990</v>
      </c>
      <c r="G391" s="36" t="s">
        <v>163</v>
      </c>
      <c r="H391" s="36" t="s">
        <v>163</v>
      </c>
      <c r="I391" s="36" t="s">
        <v>163</v>
      </c>
      <c r="J391" s="43" t="s">
        <v>752</v>
      </c>
      <c r="K391" t="s">
        <v>143</v>
      </c>
      <c r="L391" s="43" t="s">
        <v>1073</v>
      </c>
      <c r="M391" s="43" t="s">
        <v>313</v>
      </c>
      <c r="N391">
        <v>15</v>
      </c>
      <c r="O391" s="57">
        <v>42373</v>
      </c>
    </row>
    <row r="392" spans="1:15" ht="26.4" x14ac:dyDescent="0.25">
      <c r="A392" s="67" t="s">
        <v>1080</v>
      </c>
      <c r="B392" s="84">
        <v>32888758</v>
      </c>
      <c r="C392" s="46">
        <f>78*35</f>
        <v>2730</v>
      </c>
      <c r="D392" s="43" t="s">
        <v>1071</v>
      </c>
      <c r="E392" s="35" t="s">
        <v>1075</v>
      </c>
      <c r="F392" s="35" t="s">
        <v>994</v>
      </c>
      <c r="G392" s="36" t="s">
        <v>163</v>
      </c>
      <c r="H392" s="36" t="s">
        <v>163</v>
      </c>
      <c r="I392" s="36" t="s">
        <v>163</v>
      </c>
      <c r="J392" s="43" t="s">
        <v>864</v>
      </c>
      <c r="K392" t="s">
        <v>143</v>
      </c>
      <c r="L392" s="43" t="s">
        <v>1073</v>
      </c>
      <c r="M392" s="43" t="s">
        <v>313</v>
      </c>
      <c r="N392">
        <v>15</v>
      </c>
      <c r="O392" s="57">
        <v>42373</v>
      </c>
    </row>
    <row r="393" spans="1:15" ht="26.4" x14ac:dyDescent="0.25">
      <c r="A393" s="67" t="s">
        <v>1081</v>
      </c>
      <c r="B393" s="84">
        <v>39023722</v>
      </c>
      <c r="C393" s="46">
        <v>2730</v>
      </c>
      <c r="D393" s="43" t="s">
        <v>1071</v>
      </c>
      <c r="E393" s="35" t="s">
        <v>1075</v>
      </c>
      <c r="F393" s="35" t="s">
        <v>994</v>
      </c>
      <c r="G393" s="36" t="s">
        <v>163</v>
      </c>
      <c r="H393" s="36" t="s">
        <v>163</v>
      </c>
      <c r="I393" s="36" t="s">
        <v>163</v>
      </c>
      <c r="J393" s="43" t="s">
        <v>864</v>
      </c>
      <c r="K393" t="s">
        <v>143</v>
      </c>
      <c r="L393" s="43" t="s">
        <v>141</v>
      </c>
      <c r="M393" s="43" t="s">
        <v>313</v>
      </c>
      <c r="N393">
        <v>15</v>
      </c>
      <c r="O393" s="57">
        <v>42373</v>
      </c>
    </row>
    <row r="394" spans="1:15" ht="26.4" x14ac:dyDescent="0.25">
      <c r="A394" s="67" t="s">
        <v>1083</v>
      </c>
      <c r="B394" s="84">
        <v>33117082</v>
      </c>
      <c r="C394" s="46">
        <v>6970</v>
      </c>
      <c r="D394" s="43" t="s">
        <v>1084</v>
      </c>
      <c r="E394" s="35" t="s">
        <v>1061</v>
      </c>
      <c r="F394" s="35" t="s">
        <v>990</v>
      </c>
      <c r="G394" s="36" t="s">
        <v>163</v>
      </c>
      <c r="H394" s="36" t="s">
        <v>163</v>
      </c>
      <c r="I394" s="36" t="s">
        <v>163</v>
      </c>
      <c r="J394" s="43" t="s">
        <v>1085</v>
      </c>
      <c r="K394" t="s">
        <v>143</v>
      </c>
      <c r="L394" s="43" t="s">
        <v>141</v>
      </c>
      <c r="M394" s="43" t="s">
        <v>313</v>
      </c>
      <c r="N394">
        <v>31</v>
      </c>
      <c r="O394" s="57">
        <v>42370</v>
      </c>
    </row>
    <row r="395" spans="1:15" ht="26.4" x14ac:dyDescent="0.25">
      <c r="A395" s="67" t="s">
        <v>1087</v>
      </c>
      <c r="B395" s="84">
        <v>6698429</v>
      </c>
      <c r="C395" s="46">
        <v>70000</v>
      </c>
      <c r="D395" s="43" t="s">
        <v>1090</v>
      </c>
      <c r="E395" s="35" t="s">
        <v>1089</v>
      </c>
      <c r="F395" s="35" t="s">
        <v>990</v>
      </c>
      <c r="G395" s="36" t="s">
        <v>163</v>
      </c>
      <c r="H395" s="36" t="s">
        <v>163</v>
      </c>
      <c r="I395" s="36" t="s">
        <v>163</v>
      </c>
      <c r="J395" s="43" t="s">
        <v>1088</v>
      </c>
      <c r="K395">
        <v>95</v>
      </c>
      <c r="L395" s="43" t="s">
        <v>141</v>
      </c>
      <c r="M395" s="43" t="s">
        <v>313</v>
      </c>
      <c r="N395">
        <v>30</v>
      </c>
      <c r="O395" s="57">
        <v>42395</v>
      </c>
    </row>
    <row r="396" spans="1:15" ht="26.4" x14ac:dyDescent="0.25">
      <c r="A396" s="67" t="s">
        <v>805</v>
      </c>
      <c r="B396" s="84">
        <v>17816910</v>
      </c>
      <c r="C396" s="46">
        <v>2198</v>
      </c>
      <c r="D396" s="43" t="s">
        <v>1091</v>
      </c>
      <c r="E396" s="53" t="s">
        <v>593</v>
      </c>
      <c r="F396" s="53" t="s">
        <v>569</v>
      </c>
      <c r="G396" s="36" t="s">
        <v>163</v>
      </c>
      <c r="H396" s="36" t="s">
        <v>163</v>
      </c>
      <c r="I396" s="36" t="s">
        <v>163</v>
      </c>
      <c r="J396" s="43" t="s">
        <v>664</v>
      </c>
      <c r="K396">
        <v>74</v>
      </c>
      <c r="L396" s="43" t="s">
        <v>141</v>
      </c>
      <c r="M396" s="43" t="s">
        <v>313</v>
      </c>
      <c r="N396">
        <v>3</v>
      </c>
      <c r="O396" s="57">
        <v>42398</v>
      </c>
    </row>
    <row r="397" spans="1:15" ht="26.4" x14ac:dyDescent="0.25">
      <c r="A397" s="67" t="s">
        <v>1092</v>
      </c>
      <c r="B397" s="84">
        <v>34274530</v>
      </c>
      <c r="C397" s="60">
        <v>8462.7199999999993</v>
      </c>
      <c r="D397" s="43" t="s">
        <v>1095</v>
      </c>
      <c r="E397" s="53" t="s">
        <v>628</v>
      </c>
      <c r="F397" s="53" t="s">
        <v>646</v>
      </c>
      <c r="G397" s="36" t="s">
        <v>163</v>
      </c>
      <c r="H397" s="36" t="s">
        <v>163</v>
      </c>
      <c r="I397" s="36" t="s">
        <v>163</v>
      </c>
      <c r="J397" s="43" t="s">
        <v>1035</v>
      </c>
      <c r="K397">
        <v>269</v>
      </c>
      <c r="L397" s="43" t="s">
        <v>141</v>
      </c>
      <c r="M397" s="43" t="s">
        <v>313</v>
      </c>
      <c r="N397">
        <v>31</v>
      </c>
      <c r="O397" s="57">
        <v>42370</v>
      </c>
    </row>
    <row r="398" spans="1:15" ht="26.4" x14ac:dyDescent="0.25">
      <c r="A398" s="67" t="s">
        <v>1047</v>
      </c>
      <c r="B398" s="84">
        <v>36917675</v>
      </c>
      <c r="C398" s="46">
        <v>8462.7199999999993</v>
      </c>
      <c r="D398" s="43" t="s">
        <v>1095</v>
      </c>
      <c r="E398" s="53" t="s">
        <v>628</v>
      </c>
      <c r="F398" s="53" t="s">
        <v>646</v>
      </c>
      <c r="G398" s="36" t="s">
        <v>163</v>
      </c>
      <c r="H398" s="36" t="s">
        <v>163</v>
      </c>
      <c r="I398" s="36" t="s">
        <v>163</v>
      </c>
      <c r="J398" s="43" t="s">
        <v>913</v>
      </c>
      <c r="K398" s="35" t="s">
        <v>285</v>
      </c>
      <c r="L398" s="43" t="s">
        <v>141</v>
      </c>
      <c r="M398" s="43" t="s">
        <v>313</v>
      </c>
      <c r="N398">
        <v>31</v>
      </c>
      <c r="O398" s="57">
        <v>42370</v>
      </c>
    </row>
    <row r="399" spans="1:15" ht="26.4" x14ac:dyDescent="0.25">
      <c r="A399" s="67" t="s">
        <v>1037</v>
      </c>
      <c r="B399" s="84">
        <v>32157709</v>
      </c>
      <c r="C399" s="46">
        <v>8462.7199999999993</v>
      </c>
      <c r="D399" s="43" t="s">
        <v>1095</v>
      </c>
      <c r="E399" s="53" t="s">
        <v>628</v>
      </c>
      <c r="F399" s="53" t="s">
        <v>646</v>
      </c>
      <c r="G399" s="36" t="s">
        <v>163</v>
      </c>
      <c r="H399" s="36" t="s">
        <v>163</v>
      </c>
      <c r="I399" s="36" t="s">
        <v>163</v>
      </c>
      <c r="J399" s="43" t="s">
        <v>1093</v>
      </c>
      <c r="K399" s="35">
        <v>11</v>
      </c>
      <c r="L399" s="43" t="s">
        <v>141</v>
      </c>
      <c r="M399" s="43" t="s">
        <v>313</v>
      </c>
      <c r="N399">
        <v>31</v>
      </c>
      <c r="O399" s="57">
        <v>42370</v>
      </c>
    </row>
    <row r="400" spans="1:15" ht="26.4" x14ac:dyDescent="0.25">
      <c r="A400" s="67" t="s">
        <v>1094</v>
      </c>
      <c r="B400" s="84">
        <v>24221323</v>
      </c>
      <c r="C400" s="46">
        <v>8462.7199999999993</v>
      </c>
      <c r="D400" s="43" t="s">
        <v>1095</v>
      </c>
      <c r="E400" s="53" t="s">
        <v>593</v>
      </c>
      <c r="F400" s="53" t="s">
        <v>646</v>
      </c>
      <c r="G400" s="36" t="s">
        <v>163</v>
      </c>
      <c r="H400" s="36" t="s">
        <v>163</v>
      </c>
      <c r="I400" s="36" t="s">
        <v>163</v>
      </c>
      <c r="J400" s="43" t="s">
        <v>1096</v>
      </c>
      <c r="K400" s="35">
        <v>420</v>
      </c>
      <c r="L400" s="43" t="s">
        <v>141</v>
      </c>
      <c r="M400" s="43" t="s">
        <v>313</v>
      </c>
      <c r="N400">
        <v>31</v>
      </c>
      <c r="O400" s="57">
        <v>42370</v>
      </c>
    </row>
    <row r="401" spans="1:15" ht="26.4" x14ac:dyDescent="0.25">
      <c r="A401" s="67" t="s">
        <v>917</v>
      </c>
      <c r="B401" s="84">
        <v>36154751</v>
      </c>
      <c r="C401" s="60">
        <v>8916.08</v>
      </c>
      <c r="D401" s="43" t="s">
        <v>1097</v>
      </c>
      <c r="E401" s="35" t="s">
        <v>1098</v>
      </c>
      <c r="F401" s="53" t="s">
        <v>569</v>
      </c>
      <c r="G401" s="36" t="s">
        <v>163</v>
      </c>
      <c r="H401" s="36" t="s">
        <v>163</v>
      </c>
      <c r="I401" s="36" t="s">
        <v>163</v>
      </c>
      <c r="J401" s="43" t="s">
        <v>889</v>
      </c>
      <c r="K401" s="35" t="s">
        <v>285</v>
      </c>
      <c r="L401" s="43" t="s">
        <v>141</v>
      </c>
      <c r="M401" s="43" t="s">
        <v>313</v>
      </c>
      <c r="N401">
        <v>31</v>
      </c>
      <c r="O401" s="57">
        <v>42370</v>
      </c>
    </row>
    <row r="402" spans="1:15" ht="26.4" x14ac:dyDescent="0.25">
      <c r="A402" s="67" t="s">
        <v>1099</v>
      </c>
      <c r="B402" s="84">
        <v>16099622</v>
      </c>
      <c r="C402" s="60" t="s">
        <v>1113</v>
      </c>
      <c r="D402" s="43" t="s">
        <v>1100</v>
      </c>
      <c r="E402" s="53" t="s">
        <v>628</v>
      </c>
      <c r="F402" s="53" t="s">
        <v>646</v>
      </c>
      <c r="G402" s="36" t="s">
        <v>163</v>
      </c>
      <c r="H402" s="36" t="s">
        <v>163</v>
      </c>
      <c r="I402" s="36" t="s">
        <v>163</v>
      </c>
      <c r="J402" s="43" t="s">
        <v>851</v>
      </c>
      <c r="K402" s="35" t="s">
        <v>285</v>
      </c>
      <c r="L402" s="43" t="s">
        <v>141</v>
      </c>
      <c r="M402" s="43" t="s">
        <v>313</v>
      </c>
      <c r="N402">
        <v>31</v>
      </c>
      <c r="O402" s="57">
        <v>42370</v>
      </c>
    </row>
    <row r="403" spans="1:15" ht="26.4" x14ac:dyDescent="0.25">
      <c r="A403" s="67" t="s">
        <v>1101</v>
      </c>
      <c r="B403" s="84">
        <v>36795634</v>
      </c>
      <c r="C403" s="60">
        <v>7028.92</v>
      </c>
      <c r="D403" s="43" t="s">
        <v>1102</v>
      </c>
      <c r="E403" s="69" t="s">
        <v>1103</v>
      </c>
      <c r="F403" s="53" t="s">
        <v>646</v>
      </c>
      <c r="G403" s="36" t="s">
        <v>163</v>
      </c>
      <c r="H403" s="36" t="s">
        <v>163</v>
      </c>
      <c r="I403" s="36" t="s">
        <v>163</v>
      </c>
      <c r="J403" s="43" t="s">
        <v>1096</v>
      </c>
      <c r="K403">
        <v>428</v>
      </c>
      <c r="L403" s="43" t="s">
        <v>141</v>
      </c>
      <c r="M403" s="43" t="s">
        <v>313</v>
      </c>
      <c r="N403">
        <v>31</v>
      </c>
      <c r="O403" s="57">
        <v>42370</v>
      </c>
    </row>
    <row r="404" spans="1:15" ht="26.4" x14ac:dyDescent="0.25">
      <c r="A404" s="67" t="s">
        <v>1104</v>
      </c>
      <c r="B404" s="84">
        <v>23398053</v>
      </c>
      <c r="C404" s="46">
        <v>1300</v>
      </c>
      <c r="D404" s="43" t="s">
        <v>1105</v>
      </c>
      <c r="E404" s="35" t="s">
        <v>1036</v>
      </c>
      <c r="F404" s="35" t="s">
        <v>994</v>
      </c>
      <c r="G404" s="36" t="s">
        <v>163</v>
      </c>
      <c r="H404" s="36" t="s">
        <v>163</v>
      </c>
      <c r="I404" s="36" t="s">
        <v>163</v>
      </c>
      <c r="J404" s="43" t="s">
        <v>1056</v>
      </c>
      <c r="K404">
        <v>195</v>
      </c>
      <c r="L404" s="43" t="s">
        <v>141</v>
      </c>
      <c r="M404" s="43" t="s">
        <v>313</v>
      </c>
      <c r="N404">
        <v>3</v>
      </c>
      <c r="O404" s="57">
        <v>42394</v>
      </c>
    </row>
    <row r="405" spans="1:15" ht="26.4" x14ac:dyDescent="0.25">
      <c r="A405" s="67" t="s">
        <v>1104</v>
      </c>
      <c r="B405" s="84">
        <v>23398053</v>
      </c>
      <c r="C405" s="46">
        <v>1200</v>
      </c>
      <c r="D405" s="43" t="s">
        <v>1117</v>
      </c>
      <c r="E405" s="69" t="s">
        <v>1116</v>
      </c>
      <c r="F405" s="35" t="s">
        <v>994</v>
      </c>
      <c r="G405" s="36" t="s">
        <v>163</v>
      </c>
      <c r="H405" s="36" t="s">
        <v>163</v>
      </c>
      <c r="I405" s="36" t="s">
        <v>163</v>
      </c>
      <c r="J405" s="43" t="s">
        <v>1056</v>
      </c>
      <c r="K405">
        <v>195</v>
      </c>
      <c r="L405" s="43" t="s">
        <v>141</v>
      </c>
      <c r="M405" s="43" t="s">
        <v>313</v>
      </c>
      <c r="N405">
        <v>3</v>
      </c>
      <c r="O405" s="57">
        <v>42396</v>
      </c>
    </row>
    <row r="406" spans="1:15" s="74" customFormat="1" ht="26.4" x14ac:dyDescent="0.25">
      <c r="A406" s="67" t="s">
        <v>1092</v>
      </c>
      <c r="B406" s="88">
        <v>34274530</v>
      </c>
      <c r="C406" s="76">
        <f>224*37.78</f>
        <v>8462.7200000000012</v>
      </c>
      <c r="D406" s="77" t="s">
        <v>1108</v>
      </c>
      <c r="E406" s="78" t="s">
        <v>1109</v>
      </c>
      <c r="F406" s="79" t="s">
        <v>569</v>
      </c>
      <c r="G406" s="36" t="s">
        <v>163</v>
      </c>
      <c r="H406" s="36" t="s">
        <v>163</v>
      </c>
      <c r="I406" s="36" t="s">
        <v>163</v>
      </c>
      <c r="J406" s="77" t="s">
        <v>1035</v>
      </c>
      <c r="K406" s="74">
        <v>269</v>
      </c>
      <c r="L406" s="77" t="s">
        <v>141</v>
      </c>
      <c r="M406" s="77" t="s">
        <v>313</v>
      </c>
      <c r="N406" s="74">
        <v>31</v>
      </c>
      <c r="O406" s="75">
        <v>42370</v>
      </c>
    </row>
    <row r="407" spans="1:15" s="74" customFormat="1" ht="26.4" x14ac:dyDescent="0.25">
      <c r="A407" s="67" t="s">
        <v>1047</v>
      </c>
      <c r="B407" s="88">
        <v>36917675</v>
      </c>
      <c r="C407" s="76">
        <v>8462.7199999999993</v>
      </c>
      <c r="D407" s="77" t="s">
        <v>1108</v>
      </c>
      <c r="E407" s="78" t="s">
        <v>1109</v>
      </c>
      <c r="F407" s="79" t="s">
        <v>569</v>
      </c>
      <c r="G407" s="36" t="s">
        <v>163</v>
      </c>
      <c r="H407" s="36" t="s">
        <v>163</v>
      </c>
      <c r="I407" s="36" t="s">
        <v>163</v>
      </c>
      <c r="J407" s="77" t="s">
        <v>913</v>
      </c>
      <c r="K407" s="73" t="s">
        <v>285</v>
      </c>
      <c r="L407" s="77" t="s">
        <v>141</v>
      </c>
      <c r="M407" s="77" t="s">
        <v>313</v>
      </c>
      <c r="N407" s="74">
        <v>31</v>
      </c>
      <c r="O407" s="75">
        <v>42370</v>
      </c>
    </row>
    <row r="408" spans="1:15" s="74" customFormat="1" ht="26.4" x14ac:dyDescent="0.25">
      <c r="A408" s="67" t="s">
        <v>1094</v>
      </c>
      <c r="B408" s="88">
        <v>24221323</v>
      </c>
      <c r="C408" s="76">
        <v>8462.7199999999993</v>
      </c>
      <c r="D408" s="77" t="s">
        <v>1108</v>
      </c>
      <c r="E408" s="78" t="s">
        <v>1109</v>
      </c>
      <c r="F408" s="79" t="s">
        <v>569</v>
      </c>
      <c r="G408" s="36" t="s">
        <v>163</v>
      </c>
      <c r="H408" s="36" t="s">
        <v>163</v>
      </c>
      <c r="I408" s="36" t="s">
        <v>163</v>
      </c>
      <c r="J408" s="77" t="s">
        <v>1096</v>
      </c>
      <c r="K408" s="73">
        <v>420</v>
      </c>
      <c r="L408" s="77" t="s">
        <v>141</v>
      </c>
      <c r="M408" s="77" t="s">
        <v>313</v>
      </c>
      <c r="N408" s="74">
        <v>31</v>
      </c>
      <c r="O408" s="75">
        <v>42370</v>
      </c>
    </row>
    <row r="409" spans="1:15" s="74" customFormat="1" ht="26.4" x14ac:dyDescent="0.25">
      <c r="A409" s="67" t="s">
        <v>1037</v>
      </c>
      <c r="B409" s="88">
        <v>32157709</v>
      </c>
      <c r="C409" s="76">
        <v>8462.7199999999993</v>
      </c>
      <c r="D409" s="77" t="s">
        <v>1108</v>
      </c>
      <c r="E409" s="78" t="s">
        <v>1109</v>
      </c>
      <c r="F409" s="79" t="s">
        <v>569</v>
      </c>
      <c r="G409" s="36" t="s">
        <v>163</v>
      </c>
      <c r="H409" s="36" t="s">
        <v>163</v>
      </c>
      <c r="I409" s="36" t="s">
        <v>163</v>
      </c>
      <c r="J409" s="77" t="s">
        <v>1093</v>
      </c>
      <c r="K409" s="73" t="s">
        <v>1106</v>
      </c>
      <c r="L409" s="77" t="s">
        <v>141</v>
      </c>
      <c r="M409" s="77" t="s">
        <v>313</v>
      </c>
      <c r="N409" s="74">
        <v>31</v>
      </c>
      <c r="O409" s="75">
        <v>42370</v>
      </c>
    </row>
    <row r="410" spans="1:15" s="74" customFormat="1" ht="26.4" x14ac:dyDescent="0.25">
      <c r="A410" s="67" t="s">
        <v>917</v>
      </c>
      <c r="B410" s="88">
        <v>36154751</v>
      </c>
      <c r="C410" s="76">
        <f>229*37.78</f>
        <v>8651.6200000000008</v>
      </c>
      <c r="D410" s="77" t="s">
        <v>1110</v>
      </c>
      <c r="E410" s="78" t="s">
        <v>1109</v>
      </c>
      <c r="F410" s="79" t="s">
        <v>569</v>
      </c>
      <c r="G410" s="36" t="s">
        <v>163</v>
      </c>
      <c r="H410" s="36" t="s">
        <v>163</v>
      </c>
      <c r="I410" s="36" t="s">
        <v>163</v>
      </c>
      <c r="J410" s="77" t="s">
        <v>889</v>
      </c>
      <c r="K410" s="73" t="s">
        <v>143</v>
      </c>
      <c r="L410" s="77" t="s">
        <v>141</v>
      </c>
      <c r="M410" s="77" t="s">
        <v>313</v>
      </c>
      <c r="N410" s="74">
        <v>31</v>
      </c>
      <c r="O410" s="75">
        <v>42370</v>
      </c>
    </row>
    <row r="411" spans="1:15" s="74" customFormat="1" ht="26.4" x14ac:dyDescent="0.25">
      <c r="A411" s="67" t="s">
        <v>1099</v>
      </c>
      <c r="B411" s="88">
        <v>16099622</v>
      </c>
      <c r="C411" s="76">
        <f>180*37.78</f>
        <v>6800.4000000000005</v>
      </c>
      <c r="D411" s="77" t="s">
        <v>1111</v>
      </c>
      <c r="E411" s="78" t="s">
        <v>1109</v>
      </c>
      <c r="F411" s="79" t="s">
        <v>569</v>
      </c>
      <c r="G411" s="36" t="s">
        <v>163</v>
      </c>
      <c r="H411" s="36" t="s">
        <v>163</v>
      </c>
      <c r="I411" s="36" t="s">
        <v>163</v>
      </c>
      <c r="J411" s="77" t="s">
        <v>1107</v>
      </c>
      <c r="K411" s="73" t="s">
        <v>143</v>
      </c>
      <c r="L411" s="77" t="s">
        <v>141</v>
      </c>
      <c r="M411" s="77" t="s">
        <v>313</v>
      </c>
      <c r="N411" s="74">
        <v>31</v>
      </c>
      <c r="O411" s="75">
        <v>42370</v>
      </c>
    </row>
    <row r="412" spans="1:15" s="74" customFormat="1" ht="26.4" x14ac:dyDescent="0.25">
      <c r="A412" s="67" t="s">
        <v>1101</v>
      </c>
      <c r="B412" s="88">
        <v>36795634</v>
      </c>
      <c r="C412" s="76">
        <v>7028.92</v>
      </c>
      <c r="D412" s="77" t="s">
        <v>1112</v>
      </c>
      <c r="E412" s="78" t="s">
        <v>1109</v>
      </c>
      <c r="F412" s="79" t="s">
        <v>569</v>
      </c>
      <c r="G412" s="36" t="s">
        <v>163</v>
      </c>
      <c r="H412" s="36" t="s">
        <v>163</v>
      </c>
      <c r="I412" s="36" t="s">
        <v>163</v>
      </c>
      <c r="J412" s="77" t="s">
        <v>1096</v>
      </c>
      <c r="K412" s="74">
        <v>428</v>
      </c>
      <c r="L412" s="77" t="s">
        <v>141</v>
      </c>
      <c r="M412" s="77" t="s">
        <v>313</v>
      </c>
      <c r="N412" s="74">
        <v>31</v>
      </c>
      <c r="O412" s="75">
        <v>42370</v>
      </c>
    </row>
    <row r="413" spans="1:15" ht="26.4" x14ac:dyDescent="0.25">
      <c r="A413" s="67" t="s">
        <v>758</v>
      </c>
      <c r="B413" s="88">
        <v>31230172</v>
      </c>
      <c r="C413" s="46">
        <v>4410</v>
      </c>
      <c r="D413" s="77" t="s">
        <v>1114</v>
      </c>
      <c r="E413" s="74" t="s">
        <v>1115</v>
      </c>
      <c r="F413" s="79" t="s">
        <v>569</v>
      </c>
      <c r="G413" s="36" t="s">
        <v>163</v>
      </c>
      <c r="H413" s="36" t="s">
        <v>163</v>
      </c>
      <c r="I413" s="36" t="s">
        <v>163</v>
      </c>
      <c r="J413" s="77" t="s">
        <v>760</v>
      </c>
      <c r="K413" s="74" t="s">
        <v>143</v>
      </c>
      <c r="L413" s="77" t="s">
        <v>378</v>
      </c>
      <c r="M413" s="77" t="s">
        <v>313</v>
      </c>
      <c r="N413" s="74">
        <v>9</v>
      </c>
      <c r="O413" s="57">
        <v>42394</v>
      </c>
    </row>
    <row r="414" spans="1:15" ht="26.4" x14ac:dyDescent="0.25">
      <c r="A414" s="67" t="s">
        <v>1119</v>
      </c>
      <c r="B414" s="88">
        <v>38338463</v>
      </c>
      <c r="C414" s="46">
        <v>64320</v>
      </c>
      <c r="D414" s="77" t="s">
        <v>1133</v>
      </c>
      <c r="E414" s="74" t="s">
        <v>1134</v>
      </c>
      <c r="F414" s="73" t="s">
        <v>990</v>
      </c>
      <c r="G414" s="36" t="s">
        <v>163</v>
      </c>
      <c r="H414" s="36" t="s">
        <v>163</v>
      </c>
      <c r="I414" s="36" t="s">
        <v>163</v>
      </c>
      <c r="J414" s="77" t="s">
        <v>1120</v>
      </c>
      <c r="K414" s="74" t="s">
        <v>143</v>
      </c>
      <c r="L414" s="77" t="s">
        <v>141</v>
      </c>
      <c r="M414" s="77" t="s">
        <v>313</v>
      </c>
      <c r="N414" s="74">
        <v>30</v>
      </c>
      <c r="O414" s="57">
        <v>42403</v>
      </c>
    </row>
    <row r="415" spans="1:15" ht="26.4" x14ac:dyDescent="0.25">
      <c r="A415" s="67" t="s">
        <v>1121</v>
      </c>
      <c r="B415" s="88">
        <v>38160404</v>
      </c>
      <c r="C415" s="46">
        <v>1470</v>
      </c>
      <c r="D415" s="77" t="s">
        <v>1122</v>
      </c>
      <c r="E415" s="74" t="s">
        <v>1123</v>
      </c>
      <c r="F415" s="73" t="s">
        <v>990</v>
      </c>
      <c r="G415" s="36" t="s">
        <v>163</v>
      </c>
      <c r="H415" s="36" t="s">
        <v>163</v>
      </c>
      <c r="I415" s="36" t="s">
        <v>163</v>
      </c>
      <c r="J415" s="77" t="s">
        <v>864</v>
      </c>
      <c r="K415" s="74" t="s">
        <v>143</v>
      </c>
      <c r="L415" s="77" t="s">
        <v>1124</v>
      </c>
      <c r="M415" s="77" t="s">
        <v>313</v>
      </c>
      <c r="N415" s="74">
        <v>15</v>
      </c>
      <c r="O415" s="57">
        <v>42401</v>
      </c>
    </row>
    <row r="416" spans="1:15" ht="26.4" x14ac:dyDescent="0.25">
      <c r="A416" s="67" t="s">
        <v>1074</v>
      </c>
      <c r="B416" s="88">
        <v>36391369</v>
      </c>
      <c r="C416" s="46">
        <v>1470</v>
      </c>
      <c r="D416" s="77" t="s">
        <v>1122</v>
      </c>
      <c r="E416" s="80" t="s">
        <v>1123</v>
      </c>
      <c r="F416" s="73" t="s">
        <v>990</v>
      </c>
      <c r="G416" s="36" t="s">
        <v>163</v>
      </c>
      <c r="H416" s="36" t="s">
        <v>163</v>
      </c>
      <c r="I416" s="36" t="s">
        <v>163</v>
      </c>
      <c r="J416" s="77" t="s">
        <v>752</v>
      </c>
      <c r="K416" s="80" t="s">
        <v>143</v>
      </c>
      <c r="L416" s="77" t="s">
        <v>1073</v>
      </c>
      <c r="M416" s="77" t="s">
        <v>313</v>
      </c>
      <c r="N416" s="74">
        <v>15</v>
      </c>
      <c r="O416" s="57">
        <v>42401</v>
      </c>
    </row>
    <row r="417" spans="1:15" ht="26.4" x14ac:dyDescent="0.25">
      <c r="A417" s="67" t="s">
        <v>1080</v>
      </c>
      <c r="B417" s="88">
        <v>32888758</v>
      </c>
      <c r="C417" s="46">
        <v>1225</v>
      </c>
      <c r="D417" s="77" t="s">
        <v>1125</v>
      </c>
      <c r="E417" s="80" t="s">
        <v>1123</v>
      </c>
      <c r="F417" s="73" t="s">
        <v>990</v>
      </c>
      <c r="G417" s="36" t="s">
        <v>163</v>
      </c>
      <c r="H417" s="36" t="s">
        <v>163</v>
      </c>
      <c r="I417" s="36" t="s">
        <v>163</v>
      </c>
      <c r="J417" s="77" t="s">
        <v>1126</v>
      </c>
      <c r="K417" s="80" t="s">
        <v>143</v>
      </c>
      <c r="L417" s="77" t="s">
        <v>141</v>
      </c>
      <c r="M417" s="77" t="s">
        <v>313</v>
      </c>
      <c r="N417" s="74">
        <v>15</v>
      </c>
      <c r="O417" s="57">
        <v>42401</v>
      </c>
    </row>
    <row r="418" spans="1:15" ht="26.4" x14ac:dyDescent="0.25">
      <c r="A418" s="67" t="s">
        <v>1079</v>
      </c>
      <c r="B418" s="88">
        <v>36604699</v>
      </c>
      <c r="C418" s="46">
        <v>1120</v>
      </c>
      <c r="D418" s="77" t="s">
        <v>1127</v>
      </c>
      <c r="E418" s="80" t="s">
        <v>1123</v>
      </c>
      <c r="F418" s="73" t="s">
        <v>990</v>
      </c>
      <c r="G418" s="36" t="s">
        <v>163</v>
      </c>
      <c r="H418" s="36" t="s">
        <v>163</v>
      </c>
      <c r="I418" s="36" t="s">
        <v>163</v>
      </c>
      <c r="J418" s="77" t="s">
        <v>752</v>
      </c>
      <c r="K418" s="80" t="s">
        <v>143</v>
      </c>
      <c r="L418" s="77" t="s">
        <v>1073</v>
      </c>
      <c r="M418" s="77" t="s">
        <v>313</v>
      </c>
      <c r="N418" s="74">
        <v>15</v>
      </c>
      <c r="O418" s="57">
        <v>42401</v>
      </c>
    </row>
    <row r="419" spans="1:15" ht="26.4" x14ac:dyDescent="0.25">
      <c r="A419" s="67" t="s">
        <v>1078</v>
      </c>
      <c r="B419" s="88">
        <v>38111778</v>
      </c>
      <c r="C419" s="46">
        <v>1295</v>
      </c>
      <c r="D419" s="77" t="s">
        <v>1128</v>
      </c>
      <c r="E419" s="73" t="s">
        <v>1123</v>
      </c>
      <c r="F419" s="73" t="s">
        <v>994</v>
      </c>
      <c r="G419" s="36" t="s">
        <v>163</v>
      </c>
      <c r="H419" s="36" t="s">
        <v>163</v>
      </c>
      <c r="I419" s="36" t="s">
        <v>163</v>
      </c>
      <c r="J419" s="77" t="s">
        <v>752</v>
      </c>
      <c r="K419" s="80" t="s">
        <v>143</v>
      </c>
      <c r="L419" s="77" t="s">
        <v>1073</v>
      </c>
      <c r="M419" s="77" t="s">
        <v>313</v>
      </c>
      <c r="N419" s="74">
        <v>15</v>
      </c>
      <c r="O419" s="57">
        <v>42401</v>
      </c>
    </row>
    <row r="420" spans="1:15" ht="26.4" x14ac:dyDescent="0.25">
      <c r="A420" s="67" t="s">
        <v>1081</v>
      </c>
      <c r="B420" s="88">
        <v>39023722</v>
      </c>
      <c r="C420" s="46">
        <v>1225</v>
      </c>
      <c r="D420" s="77" t="s">
        <v>1129</v>
      </c>
      <c r="E420" s="73" t="s">
        <v>1123</v>
      </c>
      <c r="F420" s="73" t="s">
        <v>990</v>
      </c>
      <c r="G420" s="36" t="s">
        <v>163</v>
      </c>
      <c r="H420" s="36" t="s">
        <v>163</v>
      </c>
      <c r="I420" s="36" t="s">
        <v>163</v>
      </c>
      <c r="J420" s="77" t="s">
        <v>1130</v>
      </c>
      <c r="K420" s="80" t="s">
        <v>143</v>
      </c>
      <c r="L420" s="77" t="s">
        <v>141</v>
      </c>
      <c r="M420" s="77" t="s">
        <v>313</v>
      </c>
      <c r="N420" s="74">
        <v>15</v>
      </c>
      <c r="O420" s="57">
        <v>42401</v>
      </c>
    </row>
    <row r="421" spans="1:15" ht="26.4" x14ac:dyDescent="0.25">
      <c r="A421" s="67" t="s">
        <v>1019</v>
      </c>
      <c r="B421" s="88">
        <v>40025800</v>
      </c>
      <c r="C421" s="46">
        <v>840</v>
      </c>
      <c r="D421" s="77" t="s">
        <v>1131</v>
      </c>
      <c r="E421" s="73" t="s">
        <v>608</v>
      </c>
      <c r="F421" s="73" t="s">
        <v>990</v>
      </c>
      <c r="G421" s="36" t="s">
        <v>163</v>
      </c>
      <c r="H421" s="36" t="s">
        <v>163</v>
      </c>
      <c r="I421" s="36" t="s">
        <v>163</v>
      </c>
      <c r="J421" s="77" t="s">
        <v>886</v>
      </c>
      <c r="K421" s="80" t="s">
        <v>143</v>
      </c>
      <c r="L421" s="77" t="s">
        <v>141</v>
      </c>
      <c r="M421" s="77" t="s">
        <v>313</v>
      </c>
      <c r="N421" s="74">
        <v>15</v>
      </c>
      <c r="O421" s="57">
        <v>42401</v>
      </c>
    </row>
    <row r="422" spans="1:15" ht="26.4" x14ac:dyDescent="0.25">
      <c r="A422" s="67" t="s">
        <v>1023</v>
      </c>
      <c r="B422" s="88">
        <v>39474968</v>
      </c>
      <c r="C422" s="46">
        <v>840</v>
      </c>
      <c r="D422" s="77" t="s">
        <v>1131</v>
      </c>
      <c r="E422" s="73" t="s">
        <v>1036</v>
      </c>
      <c r="F422" s="73" t="s">
        <v>990</v>
      </c>
      <c r="G422" s="36" t="s">
        <v>163</v>
      </c>
      <c r="H422" s="36" t="s">
        <v>163</v>
      </c>
      <c r="I422" s="36" t="s">
        <v>163</v>
      </c>
      <c r="J422" s="77" t="s">
        <v>1132</v>
      </c>
      <c r="K422" s="80" t="s">
        <v>285</v>
      </c>
      <c r="L422" s="77" t="s">
        <v>141</v>
      </c>
      <c r="M422" s="77" t="s">
        <v>313</v>
      </c>
      <c r="N422" s="74">
        <v>15</v>
      </c>
      <c r="O422" s="57">
        <v>42401</v>
      </c>
    </row>
    <row r="423" spans="1:15" ht="26.4" x14ac:dyDescent="0.25">
      <c r="A423" s="67" t="s">
        <v>900</v>
      </c>
      <c r="B423" s="88">
        <v>28837107</v>
      </c>
      <c r="C423" s="46">
        <v>5200</v>
      </c>
      <c r="D423" s="77" t="s">
        <v>1135</v>
      </c>
      <c r="E423" s="73" t="s">
        <v>1136</v>
      </c>
      <c r="F423" s="79" t="s">
        <v>569</v>
      </c>
      <c r="G423" s="36" t="s">
        <v>163</v>
      </c>
      <c r="H423" s="36" t="s">
        <v>163</v>
      </c>
      <c r="I423" s="36" t="s">
        <v>163</v>
      </c>
      <c r="J423" s="77" t="s">
        <v>662</v>
      </c>
      <c r="K423" s="80" t="s">
        <v>285</v>
      </c>
      <c r="L423" s="77" t="s">
        <v>941</v>
      </c>
      <c r="M423" s="77" t="s">
        <v>313</v>
      </c>
      <c r="N423" s="74">
        <v>10</v>
      </c>
      <c r="O423" s="57">
        <v>42401</v>
      </c>
    </row>
    <row r="424" spans="1:15" ht="26.4" x14ac:dyDescent="0.25">
      <c r="A424" s="67" t="s">
        <v>1137</v>
      </c>
      <c r="B424" s="88">
        <v>27521963</v>
      </c>
      <c r="C424" s="46">
        <v>3000</v>
      </c>
      <c r="D424" s="77" t="s">
        <v>1138</v>
      </c>
      <c r="E424" s="79" t="s">
        <v>593</v>
      </c>
      <c r="F424" s="54" t="s">
        <v>569</v>
      </c>
      <c r="G424" s="36" t="s">
        <v>163</v>
      </c>
      <c r="H424" s="36" t="s">
        <v>163</v>
      </c>
      <c r="I424" s="36" t="s">
        <v>163</v>
      </c>
      <c r="J424" s="77" t="s">
        <v>1107</v>
      </c>
      <c r="K424" s="80" t="s">
        <v>285</v>
      </c>
      <c r="L424" s="77" t="s">
        <v>1139</v>
      </c>
      <c r="M424" s="77" t="s">
        <v>313</v>
      </c>
      <c r="N424" s="74">
        <v>30</v>
      </c>
      <c r="O424" s="57">
        <v>42373</v>
      </c>
    </row>
    <row r="425" spans="1:15" ht="26.4" x14ac:dyDescent="0.25">
      <c r="A425" s="67" t="s">
        <v>565</v>
      </c>
      <c r="B425" s="88">
        <v>12397514</v>
      </c>
      <c r="C425" s="46">
        <v>1350</v>
      </c>
      <c r="D425" s="77" t="s">
        <v>1140</v>
      </c>
      <c r="E425" s="73" t="s">
        <v>1141</v>
      </c>
      <c r="F425" s="79" t="s">
        <v>569</v>
      </c>
      <c r="G425" s="36" t="s">
        <v>163</v>
      </c>
      <c r="H425" s="36" t="s">
        <v>163</v>
      </c>
      <c r="I425" s="36" t="s">
        <v>163</v>
      </c>
      <c r="J425" s="77" t="s">
        <v>566</v>
      </c>
      <c r="K425">
        <v>92</v>
      </c>
      <c r="L425" s="77" t="s">
        <v>141</v>
      </c>
      <c r="M425" s="77" t="s">
        <v>313</v>
      </c>
      <c r="N425" s="74">
        <v>7</v>
      </c>
      <c r="O425" s="57">
        <v>42401</v>
      </c>
    </row>
    <row r="426" spans="1:15" ht="26.4" x14ac:dyDescent="0.25">
      <c r="A426" s="67" t="s">
        <v>1142</v>
      </c>
      <c r="B426" s="88">
        <v>11199679</v>
      </c>
      <c r="C426" s="46">
        <v>595</v>
      </c>
      <c r="D426" s="77" t="s">
        <v>1143</v>
      </c>
      <c r="E426" s="79" t="s">
        <v>572</v>
      </c>
      <c r="F426" s="82" t="s">
        <v>1144</v>
      </c>
      <c r="G426" s="36" t="s">
        <v>163</v>
      </c>
      <c r="H426" s="36" t="s">
        <v>163</v>
      </c>
      <c r="I426" s="36" t="s">
        <v>163</v>
      </c>
      <c r="J426" s="77" t="s">
        <v>748</v>
      </c>
      <c r="K426" s="80" t="s">
        <v>143</v>
      </c>
      <c r="L426" s="77" t="s">
        <v>141</v>
      </c>
      <c r="M426" s="77" t="s">
        <v>269</v>
      </c>
      <c r="N426" s="74">
        <v>15</v>
      </c>
      <c r="O426" s="57">
        <v>42401</v>
      </c>
    </row>
    <row r="427" spans="1:15" ht="15.6" customHeight="1" x14ac:dyDescent="0.25">
      <c r="A427" s="41" t="s">
        <v>1016</v>
      </c>
      <c r="B427" s="42">
        <v>39025795</v>
      </c>
      <c r="C427" s="46">
        <v>2870</v>
      </c>
      <c r="D427" s="36" t="s">
        <v>1145</v>
      </c>
      <c r="E427" s="36" t="s">
        <v>1146</v>
      </c>
      <c r="F427" s="44" t="s">
        <v>646</v>
      </c>
      <c r="G427" s="36" t="s">
        <v>163</v>
      </c>
      <c r="H427" s="36" t="s">
        <v>163</v>
      </c>
      <c r="I427" s="36" t="s">
        <v>163</v>
      </c>
      <c r="J427" s="43" t="s">
        <v>664</v>
      </c>
      <c r="K427">
        <v>78</v>
      </c>
      <c r="L427" s="43" t="s">
        <v>141</v>
      </c>
      <c r="M427" s="43" t="s">
        <v>269</v>
      </c>
      <c r="N427" s="74">
        <v>20</v>
      </c>
      <c r="O427" s="57">
        <v>42401</v>
      </c>
    </row>
    <row r="428" spans="1:15" ht="26.4" x14ac:dyDescent="0.25">
      <c r="A428" s="67" t="s">
        <v>1147</v>
      </c>
      <c r="B428" s="89">
        <v>31230172</v>
      </c>
      <c r="C428" s="46">
        <v>5390</v>
      </c>
      <c r="D428" s="77" t="s">
        <v>1148</v>
      </c>
      <c r="E428" t="s">
        <v>1152</v>
      </c>
      <c r="F428" s="54" t="s">
        <v>569</v>
      </c>
      <c r="G428" s="36" t="s">
        <v>163</v>
      </c>
      <c r="H428" s="36" t="s">
        <v>163</v>
      </c>
      <c r="I428" s="36" t="s">
        <v>163</v>
      </c>
      <c r="J428" s="77" t="s">
        <v>1149</v>
      </c>
      <c r="K428" t="s">
        <v>1150</v>
      </c>
      <c r="L428" s="77" t="s">
        <v>1151</v>
      </c>
      <c r="M428" s="77" t="s">
        <v>269</v>
      </c>
      <c r="N428" s="74">
        <v>11</v>
      </c>
      <c r="O428" s="57">
        <v>42401</v>
      </c>
    </row>
    <row r="429" spans="1:15" ht="26.4" x14ac:dyDescent="0.25">
      <c r="A429" s="67" t="s">
        <v>1153</v>
      </c>
      <c r="B429" s="89">
        <v>14336938</v>
      </c>
      <c r="C429" s="46">
        <v>14000</v>
      </c>
      <c r="D429" s="77" t="s">
        <v>1154</v>
      </c>
      <c r="E429" t="s">
        <v>1155</v>
      </c>
      <c r="F429" s="54" t="s">
        <v>646</v>
      </c>
      <c r="G429" s="36" t="s">
        <v>163</v>
      </c>
      <c r="H429" s="36" t="s">
        <v>163</v>
      </c>
      <c r="I429" s="36" t="s">
        <v>163</v>
      </c>
      <c r="J429" s="77" t="s">
        <v>864</v>
      </c>
      <c r="K429" t="s">
        <v>1150</v>
      </c>
      <c r="L429" s="77" t="s">
        <v>620</v>
      </c>
      <c r="M429" s="77" t="s">
        <v>269</v>
      </c>
      <c r="N429" s="74">
        <v>20</v>
      </c>
      <c r="O429" s="57">
        <v>42422</v>
      </c>
    </row>
    <row r="430" spans="1:15" ht="26.4" x14ac:dyDescent="0.25">
      <c r="A430" s="41" t="s">
        <v>1068</v>
      </c>
      <c r="B430" s="84">
        <v>33017391</v>
      </c>
      <c r="C430" s="46">
        <v>1200</v>
      </c>
      <c r="D430" s="43" t="s">
        <v>1156</v>
      </c>
      <c r="E430" s="35" t="s">
        <v>1157</v>
      </c>
      <c r="F430" s="36" t="s">
        <v>1158</v>
      </c>
      <c r="G430" s="36" t="s">
        <v>163</v>
      </c>
      <c r="H430" s="36" t="s">
        <v>163</v>
      </c>
      <c r="I430" s="36" t="s">
        <v>163</v>
      </c>
      <c r="J430" s="43" t="s">
        <v>878</v>
      </c>
      <c r="K430" s="43" t="s">
        <v>285</v>
      </c>
      <c r="L430" s="43" t="s">
        <v>782</v>
      </c>
      <c r="M430" s="43" t="s">
        <v>313</v>
      </c>
      <c r="N430">
        <v>15</v>
      </c>
      <c r="O430" s="57">
        <v>42408</v>
      </c>
    </row>
    <row r="431" spans="1:15" ht="26.4" x14ac:dyDescent="0.25">
      <c r="A431" s="41" t="s">
        <v>908</v>
      </c>
      <c r="B431" s="52">
        <v>23398053</v>
      </c>
      <c r="C431" s="46">
        <v>1200</v>
      </c>
      <c r="D431" s="43" t="s">
        <v>1159</v>
      </c>
      <c r="E431" s="35" t="s">
        <v>1160</v>
      </c>
      <c r="F431" s="44" t="s">
        <v>569</v>
      </c>
      <c r="G431" s="36" t="s">
        <v>163</v>
      </c>
      <c r="H431" s="36" t="s">
        <v>163</v>
      </c>
      <c r="I431" s="36" t="s">
        <v>163</v>
      </c>
      <c r="J431" s="43" t="s">
        <v>896</v>
      </c>
      <c r="K431">
        <v>195</v>
      </c>
      <c r="L431" s="43" t="s">
        <v>141</v>
      </c>
      <c r="M431" s="43" t="s">
        <v>313</v>
      </c>
      <c r="N431">
        <v>2</v>
      </c>
      <c r="O431" s="57">
        <v>42415</v>
      </c>
    </row>
    <row r="432" spans="1:15" ht="13.2" customHeight="1" x14ac:dyDescent="0.25">
      <c r="A432" s="41" t="s">
        <v>816</v>
      </c>
      <c r="B432" s="42">
        <v>6698968</v>
      </c>
      <c r="C432" s="46">
        <v>1000</v>
      </c>
      <c r="D432" s="36" t="s">
        <v>1162</v>
      </c>
      <c r="E432" s="36" t="s">
        <v>1161</v>
      </c>
      <c r="F432" s="44" t="s">
        <v>569</v>
      </c>
      <c r="G432" s="36" t="s">
        <v>163</v>
      </c>
      <c r="H432" s="36" t="s">
        <v>163</v>
      </c>
      <c r="I432" s="36" t="s">
        <v>163</v>
      </c>
      <c r="J432" s="43" t="s">
        <v>818</v>
      </c>
      <c r="K432" s="43" t="s">
        <v>285</v>
      </c>
      <c r="L432" s="43" t="s">
        <v>802</v>
      </c>
      <c r="M432" s="43" t="s">
        <v>313</v>
      </c>
      <c r="N432">
        <v>20</v>
      </c>
      <c r="O432" s="57">
        <v>42079</v>
      </c>
    </row>
    <row r="433" spans="1:15" ht="26.4" x14ac:dyDescent="0.25">
      <c r="A433" s="67" t="s">
        <v>1163</v>
      </c>
      <c r="B433" s="8">
        <v>24922515</v>
      </c>
      <c r="C433" s="46">
        <v>4900</v>
      </c>
      <c r="D433" s="36" t="s">
        <v>1164</v>
      </c>
      <c r="E433" s="53" t="s">
        <v>593</v>
      </c>
      <c r="F433" s="54" t="s">
        <v>646</v>
      </c>
      <c r="G433" s="36" t="s">
        <v>163</v>
      </c>
      <c r="H433" s="36" t="s">
        <v>163</v>
      </c>
      <c r="I433" s="36" t="s">
        <v>163</v>
      </c>
      <c r="J433" s="43" t="s">
        <v>781</v>
      </c>
      <c r="K433" t="s">
        <v>1150</v>
      </c>
      <c r="L433" s="43" t="s">
        <v>141</v>
      </c>
      <c r="M433" s="43" t="s">
        <v>269</v>
      </c>
      <c r="N433">
        <v>60</v>
      </c>
      <c r="O433" s="57">
        <v>42373</v>
      </c>
    </row>
    <row r="434" spans="1:15" ht="26.4" x14ac:dyDescent="0.25">
      <c r="A434" s="67" t="s">
        <v>565</v>
      </c>
      <c r="B434" s="8">
        <v>12397514</v>
      </c>
      <c r="C434" s="46">
        <v>900</v>
      </c>
      <c r="D434" s="36" t="s">
        <v>1165</v>
      </c>
      <c r="E434" s="53" t="s">
        <v>593</v>
      </c>
      <c r="F434" s="54" t="s">
        <v>569</v>
      </c>
      <c r="G434" s="36" t="s">
        <v>163</v>
      </c>
      <c r="H434" s="36" t="s">
        <v>163</v>
      </c>
      <c r="I434" s="36" t="s">
        <v>163</v>
      </c>
      <c r="J434" s="43" t="s">
        <v>1166</v>
      </c>
      <c r="K434">
        <v>92</v>
      </c>
      <c r="L434" s="43" t="s">
        <v>141</v>
      </c>
      <c r="M434" s="43" t="s">
        <v>269</v>
      </c>
      <c r="N434">
        <v>5</v>
      </c>
      <c r="O434" s="57">
        <v>42422</v>
      </c>
    </row>
    <row r="435" spans="1:15" ht="26.4" x14ac:dyDescent="0.25">
      <c r="A435" s="67" t="s">
        <v>1142</v>
      </c>
      <c r="B435" s="88">
        <v>11199679</v>
      </c>
      <c r="C435" s="46">
        <v>6345</v>
      </c>
      <c r="D435" s="77" t="s">
        <v>1168</v>
      </c>
      <c r="E435" s="79" t="s">
        <v>1167</v>
      </c>
      <c r="F435" s="82" t="s">
        <v>1144</v>
      </c>
      <c r="G435" s="36" t="s">
        <v>163</v>
      </c>
      <c r="H435" s="36" t="s">
        <v>163</v>
      </c>
      <c r="I435" s="36" t="s">
        <v>163</v>
      </c>
      <c r="J435" s="77" t="s">
        <v>748</v>
      </c>
      <c r="K435" s="80" t="s">
        <v>143</v>
      </c>
      <c r="L435" s="77" t="s">
        <v>141</v>
      </c>
      <c r="M435" s="77" t="s">
        <v>269</v>
      </c>
      <c r="N435" s="74">
        <v>29</v>
      </c>
      <c r="O435" s="57">
        <v>42401</v>
      </c>
    </row>
    <row r="436" spans="1:15" ht="26.4" x14ac:dyDescent="0.25">
      <c r="A436" s="67" t="s">
        <v>1169</v>
      </c>
      <c r="B436" s="8">
        <v>33117082</v>
      </c>
      <c r="C436" s="46">
        <v>6725</v>
      </c>
      <c r="D436" s="36" t="s">
        <v>1170</v>
      </c>
      <c r="E436" t="s">
        <v>1167</v>
      </c>
      <c r="F436" s="54" t="s">
        <v>569</v>
      </c>
      <c r="G436" s="36" t="s">
        <v>163</v>
      </c>
      <c r="H436" s="36" t="s">
        <v>163</v>
      </c>
      <c r="I436" s="36" t="s">
        <v>163</v>
      </c>
      <c r="J436" s="43" t="s">
        <v>748</v>
      </c>
      <c r="K436" t="s">
        <v>1150</v>
      </c>
      <c r="L436" s="43" t="s">
        <v>141</v>
      </c>
      <c r="M436" s="43" t="s">
        <v>269</v>
      </c>
      <c r="N436">
        <v>29</v>
      </c>
      <c r="O436" s="57">
        <v>42401</v>
      </c>
    </row>
    <row r="437" spans="1:15" ht="26.4" x14ac:dyDescent="0.25">
      <c r="A437" s="67" t="s">
        <v>1092</v>
      </c>
      <c r="B437" s="84">
        <v>34274530</v>
      </c>
      <c r="C437" s="60">
        <v>7669.34</v>
      </c>
      <c r="D437" s="43" t="s">
        <v>1171</v>
      </c>
      <c r="E437" s="53" t="s">
        <v>628</v>
      </c>
      <c r="F437" s="53" t="s">
        <v>646</v>
      </c>
      <c r="G437" s="36" t="s">
        <v>163</v>
      </c>
      <c r="H437" s="36" t="s">
        <v>163</v>
      </c>
      <c r="I437" s="36" t="s">
        <v>163</v>
      </c>
      <c r="J437" s="43" t="s">
        <v>1035</v>
      </c>
      <c r="K437">
        <v>269</v>
      </c>
      <c r="L437" s="43" t="s">
        <v>141</v>
      </c>
      <c r="M437" s="43" t="s">
        <v>313</v>
      </c>
      <c r="N437">
        <v>29</v>
      </c>
      <c r="O437" s="57">
        <v>42401</v>
      </c>
    </row>
    <row r="438" spans="1:15" ht="26.4" x14ac:dyDescent="0.25">
      <c r="A438" s="41" t="s">
        <v>535</v>
      </c>
      <c r="B438" s="42">
        <v>36917675</v>
      </c>
      <c r="C438" s="46">
        <v>7669.34</v>
      </c>
      <c r="D438" s="36" t="s">
        <v>1176</v>
      </c>
      <c r="E438" s="36" t="s">
        <v>1177</v>
      </c>
      <c r="F438" s="44" t="s">
        <v>536</v>
      </c>
      <c r="G438" s="36" t="s">
        <v>163</v>
      </c>
      <c r="H438" s="36" t="s">
        <v>163</v>
      </c>
      <c r="I438" s="36" t="s">
        <v>163</v>
      </c>
      <c r="J438" s="35" t="s">
        <v>232</v>
      </c>
      <c r="K438">
        <v>428</v>
      </c>
      <c r="L438" t="s">
        <v>141</v>
      </c>
      <c r="M438" s="35" t="s">
        <v>414</v>
      </c>
      <c r="N438">
        <v>29</v>
      </c>
      <c r="O438" s="57">
        <v>42401</v>
      </c>
    </row>
    <row r="439" spans="1:15" s="74" customFormat="1" ht="26.4" x14ac:dyDescent="0.25">
      <c r="A439" s="67" t="s">
        <v>917</v>
      </c>
      <c r="B439" s="88">
        <v>36154751</v>
      </c>
      <c r="C439" s="76">
        <v>7669.34</v>
      </c>
      <c r="D439" s="77" t="s">
        <v>1172</v>
      </c>
      <c r="E439" s="78" t="s">
        <v>1109</v>
      </c>
      <c r="F439" s="79" t="s">
        <v>569</v>
      </c>
      <c r="G439" s="36" t="s">
        <v>163</v>
      </c>
      <c r="H439" s="36" t="s">
        <v>163</v>
      </c>
      <c r="I439" s="36" t="s">
        <v>163</v>
      </c>
      <c r="J439" s="77" t="s">
        <v>889</v>
      </c>
      <c r="K439" s="73" t="s">
        <v>143</v>
      </c>
      <c r="L439" s="77" t="s">
        <v>141</v>
      </c>
      <c r="M439" s="77" t="s">
        <v>313</v>
      </c>
      <c r="N439" s="74">
        <v>29</v>
      </c>
      <c r="O439" s="75">
        <v>42401</v>
      </c>
    </row>
    <row r="440" spans="1:15" s="74" customFormat="1" ht="26.4" x14ac:dyDescent="0.25">
      <c r="A440" s="67" t="s">
        <v>1094</v>
      </c>
      <c r="B440" s="88">
        <v>24221323</v>
      </c>
      <c r="C440" s="76">
        <v>7669.34</v>
      </c>
      <c r="D440" s="77" t="s">
        <v>1173</v>
      </c>
      <c r="E440" s="78" t="s">
        <v>1109</v>
      </c>
      <c r="F440" s="79" t="s">
        <v>569</v>
      </c>
      <c r="G440" s="36" t="s">
        <v>163</v>
      </c>
      <c r="H440" s="36" t="s">
        <v>163</v>
      </c>
      <c r="I440" s="36" t="s">
        <v>163</v>
      </c>
      <c r="J440" s="77" t="s">
        <v>1096</v>
      </c>
      <c r="K440" s="73">
        <v>420</v>
      </c>
      <c r="L440" s="77" t="s">
        <v>141</v>
      </c>
      <c r="M440" s="77" t="s">
        <v>313</v>
      </c>
      <c r="N440" s="74">
        <v>29</v>
      </c>
      <c r="O440" s="75">
        <v>42401</v>
      </c>
    </row>
    <row r="441" spans="1:15" s="74" customFormat="1" ht="26.4" x14ac:dyDescent="0.25">
      <c r="A441" s="67" t="s">
        <v>1037</v>
      </c>
      <c r="B441" s="88">
        <v>32157709</v>
      </c>
      <c r="C441" s="76">
        <v>7140.42</v>
      </c>
      <c r="D441" s="77" t="s">
        <v>1174</v>
      </c>
      <c r="E441" s="78" t="s">
        <v>1109</v>
      </c>
      <c r="F441" s="79" t="s">
        <v>569</v>
      </c>
      <c r="G441" s="36" t="s">
        <v>163</v>
      </c>
      <c r="H441" s="36" t="s">
        <v>163</v>
      </c>
      <c r="I441" s="36" t="s">
        <v>163</v>
      </c>
      <c r="J441" s="77" t="s">
        <v>1093</v>
      </c>
      <c r="K441" s="73" t="s">
        <v>1106</v>
      </c>
      <c r="L441" s="77" t="s">
        <v>141</v>
      </c>
      <c r="M441" s="77" t="s">
        <v>313</v>
      </c>
      <c r="N441" s="74">
        <v>27</v>
      </c>
      <c r="O441" s="75">
        <v>42401</v>
      </c>
    </row>
    <row r="442" spans="1:15" ht="26.4" x14ac:dyDescent="0.25">
      <c r="A442" s="41" t="s">
        <v>610</v>
      </c>
      <c r="B442" s="42">
        <v>36795634</v>
      </c>
      <c r="C442" s="46">
        <v>6500</v>
      </c>
      <c r="D442" s="43" t="s">
        <v>1175</v>
      </c>
      <c r="E442" s="44" t="s">
        <v>593</v>
      </c>
      <c r="F442" s="44" t="s">
        <v>569</v>
      </c>
      <c r="G442" s="36" t="s">
        <v>163</v>
      </c>
      <c r="H442" s="36" t="s">
        <v>163</v>
      </c>
      <c r="I442" s="36" t="s">
        <v>163</v>
      </c>
      <c r="J442" s="35" t="s">
        <v>612</v>
      </c>
      <c r="K442">
        <v>428</v>
      </c>
      <c r="L442" s="35" t="s">
        <v>141</v>
      </c>
      <c r="M442" s="35" t="s">
        <v>414</v>
      </c>
      <c r="N442">
        <v>29</v>
      </c>
      <c r="O442" s="57">
        <v>42401</v>
      </c>
    </row>
    <row r="443" spans="1:15" s="74" customFormat="1" ht="26.4" x14ac:dyDescent="0.25">
      <c r="A443" s="67" t="s">
        <v>1068</v>
      </c>
      <c r="B443" s="88">
        <v>33017391</v>
      </c>
      <c r="C443" s="76">
        <v>900</v>
      </c>
      <c r="D443" s="77" t="s">
        <v>1696</v>
      </c>
      <c r="E443" s="73" t="s">
        <v>608</v>
      </c>
      <c r="F443" s="79" t="s">
        <v>569</v>
      </c>
      <c r="G443" s="36" t="s">
        <v>163</v>
      </c>
      <c r="H443" s="36" t="s">
        <v>163</v>
      </c>
      <c r="I443" s="36" t="s">
        <v>163</v>
      </c>
      <c r="J443" s="77" t="s">
        <v>781</v>
      </c>
      <c r="K443" s="73" t="s">
        <v>143</v>
      </c>
      <c r="L443" s="77" t="s">
        <v>782</v>
      </c>
      <c r="M443" s="77" t="s">
        <v>313</v>
      </c>
      <c r="N443" s="74">
        <v>3</v>
      </c>
      <c r="O443" s="75">
        <v>42733</v>
      </c>
    </row>
    <row r="444" spans="1:15" ht="26.4" x14ac:dyDescent="0.25">
      <c r="A444" s="67" t="s">
        <v>1178</v>
      </c>
      <c r="B444" s="89">
        <v>28837107</v>
      </c>
      <c r="C444" s="46">
        <v>2900</v>
      </c>
      <c r="D444" s="77" t="s">
        <v>1179</v>
      </c>
      <c r="E444" s="74" t="s">
        <v>1180</v>
      </c>
      <c r="F444" s="73" t="s">
        <v>1181</v>
      </c>
      <c r="G444" s="36" t="s">
        <v>163</v>
      </c>
      <c r="H444" s="36" t="s">
        <v>163</v>
      </c>
      <c r="I444" s="36" t="s">
        <v>163</v>
      </c>
      <c r="J444" s="77" t="s">
        <v>662</v>
      </c>
      <c r="K444" s="73" t="s">
        <v>1150</v>
      </c>
      <c r="L444" s="77" t="s">
        <v>141</v>
      </c>
      <c r="M444" s="77" t="s">
        <v>269</v>
      </c>
      <c r="N444" s="74">
        <v>5</v>
      </c>
      <c r="O444" s="57">
        <v>42429</v>
      </c>
    </row>
    <row r="445" spans="1:15" ht="26.4" x14ac:dyDescent="0.25">
      <c r="A445" s="67" t="s">
        <v>1182</v>
      </c>
      <c r="B445" s="89">
        <v>17112753</v>
      </c>
      <c r="C445" s="46">
        <v>2000</v>
      </c>
      <c r="D445" s="77" t="s">
        <v>1183</v>
      </c>
      <c r="E445" s="54" t="s">
        <v>593</v>
      </c>
      <c r="F445" s="79" t="s">
        <v>569</v>
      </c>
      <c r="G445" s="36" t="s">
        <v>163</v>
      </c>
      <c r="H445" s="36" t="s">
        <v>163</v>
      </c>
      <c r="I445" s="36" t="s">
        <v>163</v>
      </c>
      <c r="J445" s="77" t="s">
        <v>889</v>
      </c>
      <c r="K445" s="73" t="s">
        <v>1150</v>
      </c>
      <c r="L445" s="77" t="s">
        <v>141</v>
      </c>
      <c r="M445" s="77" t="s">
        <v>269</v>
      </c>
      <c r="N445" s="74">
        <v>2</v>
      </c>
      <c r="O445" s="57">
        <v>42369</v>
      </c>
    </row>
    <row r="446" spans="1:15" ht="26.4" x14ac:dyDescent="0.25">
      <c r="A446" s="67" t="s">
        <v>1184</v>
      </c>
      <c r="B446" s="89">
        <v>18644221</v>
      </c>
      <c r="C446" s="46">
        <v>6000</v>
      </c>
      <c r="D446" s="77" t="s">
        <v>1185</v>
      </c>
      <c r="E446" s="54" t="s">
        <v>593</v>
      </c>
      <c r="F446" s="79" t="s">
        <v>569</v>
      </c>
      <c r="G446" s="36" t="s">
        <v>163</v>
      </c>
      <c r="H446" s="36" t="s">
        <v>163</v>
      </c>
      <c r="I446" s="36" t="s">
        <v>163</v>
      </c>
      <c r="J446" s="77" t="s">
        <v>931</v>
      </c>
      <c r="K446">
        <v>325</v>
      </c>
      <c r="L446" s="77" t="s">
        <v>141</v>
      </c>
      <c r="M446" s="77" t="s">
        <v>269</v>
      </c>
      <c r="N446" s="74">
        <v>15</v>
      </c>
      <c r="O446" s="57">
        <v>42401</v>
      </c>
    </row>
    <row r="447" spans="1:15" ht="26.4" x14ac:dyDescent="0.25">
      <c r="A447" s="67" t="s">
        <v>1184</v>
      </c>
      <c r="B447" s="89">
        <v>18644221</v>
      </c>
      <c r="C447" s="46">
        <v>6000</v>
      </c>
      <c r="D447" s="77" t="s">
        <v>1186</v>
      </c>
      <c r="E447" t="s">
        <v>1187</v>
      </c>
      <c r="F447" s="79" t="s">
        <v>569</v>
      </c>
      <c r="G447" s="36" t="s">
        <v>163</v>
      </c>
      <c r="H447" s="36" t="s">
        <v>163</v>
      </c>
      <c r="I447" s="36" t="s">
        <v>163</v>
      </c>
      <c r="J447" s="77" t="s">
        <v>931</v>
      </c>
      <c r="K447">
        <v>325</v>
      </c>
      <c r="L447" s="77" t="s">
        <v>141</v>
      </c>
      <c r="M447" s="77" t="s">
        <v>269</v>
      </c>
      <c r="N447" s="74">
        <v>15</v>
      </c>
      <c r="O447" s="57">
        <v>42415</v>
      </c>
    </row>
    <row r="448" spans="1:15" ht="26.4" x14ac:dyDescent="0.25">
      <c r="A448" s="67" t="s">
        <v>1188</v>
      </c>
      <c r="B448" s="89">
        <v>22008433</v>
      </c>
      <c r="C448" s="46">
        <v>4895</v>
      </c>
      <c r="D448" s="77" t="s">
        <v>1189</v>
      </c>
      <c r="E448" s="54" t="s">
        <v>593</v>
      </c>
      <c r="F448" s="79" t="s">
        <v>569</v>
      </c>
      <c r="G448" s="36" t="s">
        <v>163</v>
      </c>
      <c r="H448" s="36" t="s">
        <v>163</v>
      </c>
      <c r="I448" s="36" t="s">
        <v>163</v>
      </c>
      <c r="J448" s="77" t="s">
        <v>875</v>
      </c>
      <c r="K448" s="73" t="s">
        <v>1150</v>
      </c>
      <c r="L448" s="77" t="s">
        <v>141</v>
      </c>
      <c r="M448" s="77" t="s">
        <v>269</v>
      </c>
      <c r="N448" s="74">
        <v>29</v>
      </c>
      <c r="O448" s="57">
        <v>42401</v>
      </c>
    </row>
    <row r="449" spans="1:15" ht="26.4" x14ac:dyDescent="0.25">
      <c r="A449" s="67" t="s">
        <v>1190</v>
      </c>
      <c r="B449" s="89">
        <v>27263557</v>
      </c>
      <c r="C449" s="46">
        <v>3000</v>
      </c>
      <c r="D449" s="77" t="s">
        <v>1191</v>
      </c>
      <c r="E449" s="54" t="s">
        <v>593</v>
      </c>
      <c r="F449" s="79" t="s">
        <v>569</v>
      </c>
      <c r="G449" s="36" t="s">
        <v>163</v>
      </c>
      <c r="H449" s="36" t="s">
        <v>163</v>
      </c>
      <c r="I449" s="36" t="s">
        <v>163</v>
      </c>
      <c r="J449" s="77" t="s">
        <v>1192</v>
      </c>
      <c r="K449" s="73" t="s">
        <v>1150</v>
      </c>
      <c r="L449" s="77" t="s">
        <v>141</v>
      </c>
      <c r="M449" s="77" t="s">
        <v>269</v>
      </c>
      <c r="N449" s="74">
        <v>30</v>
      </c>
      <c r="O449" s="57">
        <v>42402</v>
      </c>
    </row>
    <row r="450" spans="1:15" ht="26.4" x14ac:dyDescent="0.25">
      <c r="A450" s="67" t="s">
        <v>1184</v>
      </c>
      <c r="B450" s="89">
        <v>18644221</v>
      </c>
      <c r="C450" s="46">
        <v>8000</v>
      </c>
      <c r="D450" s="77" t="s">
        <v>1193</v>
      </c>
      <c r="E450" s="54" t="s">
        <v>593</v>
      </c>
      <c r="F450" s="79" t="s">
        <v>569</v>
      </c>
      <c r="G450" s="36" t="s">
        <v>163</v>
      </c>
      <c r="H450" s="36" t="s">
        <v>163</v>
      </c>
      <c r="I450" s="36" t="s">
        <v>163</v>
      </c>
      <c r="J450" s="77" t="s">
        <v>931</v>
      </c>
      <c r="K450">
        <v>325</v>
      </c>
      <c r="L450" s="77" t="s">
        <v>141</v>
      </c>
      <c r="M450" s="77" t="s">
        <v>269</v>
      </c>
      <c r="N450" s="74">
        <v>15</v>
      </c>
      <c r="O450" s="57">
        <v>42401</v>
      </c>
    </row>
    <row r="451" spans="1:15" ht="26.4" x14ac:dyDescent="0.25">
      <c r="A451" s="67" t="s">
        <v>1194</v>
      </c>
      <c r="B451" s="89">
        <v>24364859</v>
      </c>
      <c r="C451" s="46">
        <v>3500</v>
      </c>
      <c r="D451" s="77" t="s">
        <v>1195</v>
      </c>
      <c r="E451" t="s">
        <v>1196</v>
      </c>
      <c r="F451" s="79" t="s">
        <v>569</v>
      </c>
      <c r="G451" s="36" t="s">
        <v>163</v>
      </c>
      <c r="H451" s="36" t="s">
        <v>163</v>
      </c>
      <c r="I451" s="36" t="s">
        <v>163</v>
      </c>
      <c r="J451" s="77" t="s">
        <v>1199</v>
      </c>
      <c r="K451">
        <v>423</v>
      </c>
      <c r="L451" s="77" t="s">
        <v>1197</v>
      </c>
      <c r="M451" s="77" t="s">
        <v>1198</v>
      </c>
      <c r="N451" s="74">
        <v>360</v>
      </c>
      <c r="O451" s="57">
        <v>42430</v>
      </c>
    </row>
    <row r="452" spans="1:15" ht="26.4" x14ac:dyDescent="0.25">
      <c r="A452" s="67" t="s">
        <v>1200</v>
      </c>
      <c r="B452" s="89">
        <v>25825032</v>
      </c>
      <c r="C452" s="46">
        <v>3000</v>
      </c>
      <c r="D452" s="77" t="s">
        <v>1207</v>
      </c>
      <c r="E452" t="s">
        <v>1201</v>
      </c>
      <c r="F452" s="79" t="s">
        <v>569</v>
      </c>
      <c r="G452" s="36" t="s">
        <v>163</v>
      </c>
      <c r="H452" s="36" t="s">
        <v>163</v>
      </c>
      <c r="I452" s="36" t="s">
        <v>163</v>
      </c>
      <c r="J452" s="77" t="s">
        <v>1202</v>
      </c>
      <c r="K452" t="s">
        <v>1150</v>
      </c>
      <c r="L452" s="77" t="s">
        <v>585</v>
      </c>
      <c r="M452" s="77" t="s">
        <v>269</v>
      </c>
      <c r="N452" s="74">
        <v>5</v>
      </c>
      <c r="O452" s="57">
        <v>42430</v>
      </c>
    </row>
    <row r="453" spans="1:15" ht="26.4" x14ac:dyDescent="0.25">
      <c r="A453" s="41" t="s">
        <v>908</v>
      </c>
      <c r="B453" s="52">
        <v>23398053</v>
      </c>
      <c r="C453" s="46">
        <v>1200</v>
      </c>
      <c r="D453" s="43" t="s">
        <v>1203</v>
      </c>
      <c r="E453" s="35" t="s">
        <v>1204</v>
      </c>
      <c r="F453" s="44" t="s">
        <v>569</v>
      </c>
      <c r="G453" s="36" t="s">
        <v>163</v>
      </c>
      <c r="H453" s="36" t="s">
        <v>163</v>
      </c>
      <c r="I453" s="36" t="s">
        <v>163</v>
      </c>
      <c r="J453" s="43" t="s">
        <v>896</v>
      </c>
      <c r="K453">
        <v>195</v>
      </c>
      <c r="L453" s="43" t="s">
        <v>141</v>
      </c>
      <c r="M453" s="43" t="s">
        <v>313</v>
      </c>
      <c r="N453">
        <v>3</v>
      </c>
      <c r="O453" s="57">
        <v>42431</v>
      </c>
    </row>
    <row r="454" spans="1:15" ht="26.4" x14ac:dyDescent="0.25">
      <c r="A454" s="41" t="s">
        <v>908</v>
      </c>
      <c r="B454" s="52">
        <v>23398053</v>
      </c>
      <c r="C454" s="46">
        <v>800</v>
      </c>
      <c r="D454" s="43" t="s">
        <v>1205</v>
      </c>
      <c r="E454" s="35" t="s">
        <v>1206</v>
      </c>
      <c r="F454" s="44" t="s">
        <v>569</v>
      </c>
      <c r="G454" s="36" t="s">
        <v>163</v>
      </c>
      <c r="H454" s="36" t="s">
        <v>163</v>
      </c>
      <c r="I454" s="36" t="s">
        <v>163</v>
      </c>
      <c r="J454" s="43" t="s">
        <v>896</v>
      </c>
      <c r="K454">
        <v>195</v>
      </c>
      <c r="L454" s="43" t="s">
        <v>141</v>
      </c>
      <c r="M454" s="43" t="s">
        <v>313</v>
      </c>
      <c r="N454">
        <v>2</v>
      </c>
      <c r="O454" s="57">
        <v>42433</v>
      </c>
    </row>
    <row r="455" spans="1:15" ht="26.4" x14ac:dyDescent="0.25">
      <c r="A455" s="67" t="s">
        <v>1137</v>
      </c>
      <c r="B455" s="88">
        <v>27521963</v>
      </c>
      <c r="C455" s="46">
        <v>3000</v>
      </c>
      <c r="D455" s="77" t="s">
        <v>1208</v>
      </c>
      <c r="E455" s="79" t="s">
        <v>593</v>
      </c>
      <c r="F455" s="54" t="s">
        <v>569</v>
      </c>
      <c r="G455" s="36" t="s">
        <v>163</v>
      </c>
      <c r="H455" s="36" t="s">
        <v>163</v>
      </c>
      <c r="I455" s="36" t="s">
        <v>163</v>
      </c>
      <c r="J455" s="77" t="s">
        <v>1107</v>
      </c>
      <c r="K455" s="80" t="s">
        <v>285</v>
      </c>
      <c r="L455" s="77" t="s">
        <v>1139</v>
      </c>
      <c r="M455" s="77" t="s">
        <v>313</v>
      </c>
      <c r="N455" s="74">
        <v>30</v>
      </c>
      <c r="O455" s="57">
        <v>42404</v>
      </c>
    </row>
    <row r="456" spans="1:15" ht="26.4" x14ac:dyDescent="0.25">
      <c r="A456" s="67" t="s">
        <v>1209</v>
      </c>
      <c r="B456" s="89">
        <v>14948955</v>
      </c>
      <c r="C456" s="46">
        <v>8550</v>
      </c>
      <c r="D456" s="77" t="s">
        <v>1210</v>
      </c>
      <c r="E456" s="53" t="s">
        <v>593</v>
      </c>
      <c r="F456" s="54" t="s">
        <v>569</v>
      </c>
      <c r="G456" s="36" t="s">
        <v>163</v>
      </c>
      <c r="H456" s="36" t="s">
        <v>163</v>
      </c>
      <c r="I456" s="36" t="s">
        <v>163</v>
      </c>
      <c r="J456" s="77" t="s">
        <v>1211</v>
      </c>
      <c r="K456" t="s">
        <v>1150</v>
      </c>
      <c r="L456" s="77" t="s">
        <v>723</v>
      </c>
      <c r="M456" s="77" t="s">
        <v>269</v>
      </c>
      <c r="N456" s="74">
        <v>8</v>
      </c>
      <c r="O456" s="57">
        <v>42429</v>
      </c>
    </row>
    <row r="457" spans="1:15" ht="26.4" x14ac:dyDescent="0.25">
      <c r="A457" s="67" t="s">
        <v>1212</v>
      </c>
      <c r="B457" s="89">
        <v>23553260</v>
      </c>
      <c r="C457" s="46">
        <v>3000</v>
      </c>
      <c r="D457" s="77" t="s">
        <v>1213</v>
      </c>
      <c r="E457" s="53" t="s">
        <v>593</v>
      </c>
      <c r="F457" s="53" t="s">
        <v>569</v>
      </c>
      <c r="G457" s="36" t="s">
        <v>163</v>
      </c>
      <c r="H457" s="36" t="s">
        <v>163</v>
      </c>
      <c r="I457" s="36" t="s">
        <v>163</v>
      </c>
      <c r="J457" s="77" t="s">
        <v>1214</v>
      </c>
      <c r="K457" s="35" t="s">
        <v>1150</v>
      </c>
      <c r="L457" s="77" t="s">
        <v>141</v>
      </c>
      <c r="M457" s="77" t="s">
        <v>313</v>
      </c>
      <c r="N457" s="74">
        <v>29</v>
      </c>
      <c r="O457" s="57">
        <v>42401</v>
      </c>
    </row>
    <row r="458" spans="1:15" ht="26.4" x14ac:dyDescent="0.25">
      <c r="A458" s="67" t="s">
        <v>1215</v>
      </c>
      <c r="B458" s="89">
        <v>22104090</v>
      </c>
      <c r="C458" s="46">
        <v>3500</v>
      </c>
      <c r="D458" s="77" t="s">
        <v>1217</v>
      </c>
      <c r="E458" s="54" t="s">
        <v>628</v>
      </c>
      <c r="F458" s="53" t="s">
        <v>569</v>
      </c>
      <c r="G458" s="36" t="s">
        <v>163</v>
      </c>
      <c r="H458" s="36" t="s">
        <v>163</v>
      </c>
      <c r="I458" s="36" t="s">
        <v>163</v>
      </c>
      <c r="J458" s="77" t="s">
        <v>1216</v>
      </c>
      <c r="K458" s="35" t="s">
        <v>1150</v>
      </c>
      <c r="L458" s="77" t="s">
        <v>141</v>
      </c>
      <c r="M458" s="77" t="s">
        <v>269</v>
      </c>
      <c r="N458" s="74">
        <v>7</v>
      </c>
      <c r="O458" s="57">
        <v>42432</v>
      </c>
    </row>
    <row r="459" spans="1:15" ht="26.4" x14ac:dyDescent="0.25">
      <c r="A459" s="67" t="s">
        <v>1224</v>
      </c>
      <c r="C459" s="46">
        <v>1250</v>
      </c>
      <c r="D459" s="77" t="s">
        <v>1218</v>
      </c>
      <c r="E459" t="s">
        <v>1219</v>
      </c>
      <c r="F459" s="35" t="s">
        <v>1220</v>
      </c>
      <c r="G459" s="36" t="s">
        <v>163</v>
      </c>
      <c r="H459" s="36" t="s">
        <v>163</v>
      </c>
      <c r="I459" s="36" t="s">
        <v>163</v>
      </c>
      <c r="J459" s="77" t="s">
        <v>1221</v>
      </c>
      <c r="K459">
        <v>665</v>
      </c>
      <c r="L459" s="77" t="s">
        <v>141</v>
      </c>
      <c r="M459" s="77" t="s">
        <v>269</v>
      </c>
      <c r="N459" s="74">
        <v>3</v>
      </c>
      <c r="O459" s="57">
        <v>42436</v>
      </c>
    </row>
    <row r="460" spans="1:15" ht="26.4" x14ac:dyDescent="0.25">
      <c r="A460" s="67" t="s">
        <v>1224</v>
      </c>
      <c r="C460" s="46">
        <v>1100</v>
      </c>
      <c r="D460" s="77" t="s">
        <v>1222</v>
      </c>
      <c r="E460" t="s">
        <v>1223</v>
      </c>
      <c r="F460" s="53" t="s">
        <v>569</v>
      </c>
      <c r="G460" s="36" t="s">
        <v>163</v>
      </c>
      <c r="H460" s="36" t="s">
        <v>163</v>
      </c>
      <c r="I460" s="36" t="s">
        <v>163</v>
      </c>
      <c r="J460" s="77" t="s">
        <v>1221</v>
      </c>
      <c r="K460">
        <v>665</v>
      </c>
      <c r="L460" s="77" t="s">
        <v>141</v>
      </c>
      <c r="M460" s="77" t="s">
        <v>269</v>
      </c>
      <c r="N460" s="74">
        <v>3</v>
      </c>
      <c r="O460" s="57">
        <v>42430</v>
      </c>
    </row>
    <row r="461" spans="1:15" ht="26.4" x14ac:dyDescent="0.25">
      <c r="A461" s="41" t="s">
        <v>908</v>
      </c>
      <c r="B461" s="52">
        <v>23398053</v>
      </c>
      <c r="C461" s="46">
        <v>1000</v>
      </c>
      <c r="D461" s="43" t="s">
        <v>1225</v>
      </c>
      <c r="E461" s="83" t="s">
        <v>593</v>
      </c>
      <c r="F461" s="44" t="s">
        <v>569</v>
      </c>
      <c r="G461" s="36" t="s">
        <v>163</v>
      </c>
      <c r="H461" s="36" t="s">
        <v>163</v>
      </c>
      <c r="I461" s="36" t="s">
        <v>163</v>
      </c>
      <c r="J461" s="43" t="s">
        <v>896</v>
      </c>
      <c r="K461">
        <v>195</v>
      </c>
      <c r="L461" s="43" t="s">
        <v>141</v>
      </c>
      <c r="M461" s="43" t="s">
        <v>313</v>
      </c>
      <c r="N461">
        <v>2</v>
      </c>
      <c r="O461" s="57">
        <v>42436</v>
      </c>
    </row>
    <row r="462" spans="1:15" ht="26.4" x14ac:dyDescent="0.25">
      <c r="A462" s="41" t="s">
        <v>659</v>
      </c>
      <c r="B462" s="42">
        <v>28837107</v>
      </c>
      <c r="C462" s="46">
        <v>1500</v>
      </c>
      <c r="D462" s="36" t="s">
        <v>1226</v>
      </c>
      <c r="E462" s="54" t="s">
        <v>1227</v>
      </c>
      <c r="F462" s="44" t="s">
        <v>569</v>
      </c>
      <c r="G462" s="36" t="s">
        <v>163</v>
      </c>
      <c r="H462" s="36" t="s">
        <v>163</v>
      </c>
      <c r="I462" s="36" t="s">
        <v>163</v>
      </c>
      <c r="J462" s="35" t="s">
        <v>662</v>
      </c>
      <c r="K462" t="s">
        <v>143</v>
      </c>
      <c r="L462" s="35" t="s">
        <v>141</v>
      </c>
      <c r="M462" s="35" t="s">
        <v>414</v>
      </c>
      <c r="N462">
        <v>4</v>
      </c>
    </row>
    <row r="463" spans="1:15" ht="26.4" x14ac:dyDescent="0.25">
      <c r="A463" s="41" t="s">
        <v>1068</v>
      </c>
      <c r="B463" s="84">
        <v>33017391</v>
      </c>
      <c r="C463" s="46">
        <v>2600</v>
      </c>
      <c r="D463" s="43" t="s">
        <v>1228</v>
      </c>
      <c r="E463" s="35" t="s">
        <v>1229</v>
      </c>
      <c r="F463" s="36" t="s">
        <v>1230</v>
      </c>
      <c r="G463" s="36" t="s">
        <v>163</v>
      </c>
      <c r="H463" s="36" t="s">
        <v>163</v>
      </c>
      <c r="I463" s="36" t="s">
        <v>163</v>
      </c>
      <c r="J463" s="43" t="s">
        <v>878</v>
      </c>
      <c r="K463" s="43" t="s">
        <v>285</v>
      </c>
      <c r="L463" s="43" t="s">
        <v>782</v>
      </c>
      <c r="M463" s="43" t="s">
        <v>313</v>
      </c>
      <c r="N463">
        <v>15</v>
      </c>
      <c r="O463" s="57">
        <v>42430</v>
      </c>
    </row>
    <row r="464" spans="1:15" ht="26.4" x14ac:dyDescent="0.25">
      <c r="A464" s="41" t="s">
        <v>502</v>
      </c>
      <c r="B464" s="42">
        <v>11199679</v>
      </c>
      <c r="C464" s="46">
        <v>770</v>
      </c>
      <c r="D464" s="36" t="s">
        <v>1231</v>
      </c>
      <c r="E464" s="44" t="s">
        <v>593</v>
      </c>
      <c r="F464" s="36" t="s">
        <v>615</v>
      </c>
      <c r="G464" s="36" t="s">
        <v>163</v>
      </c>
      <c r="H464" s="36" t="s">
        <v>163</v>
      </c>
      <c r="I464" s="36" t="s">
        <v>163</v>
      </c>
      <c r="J464" s="43" t="s">
        <v>748</v>
      </c>
      <c r="K464" s="43">
        <v>125</v>
      </c>
      <c r="L464" s="43" t="s">
        <v>141</v>
      </c>
      <c r="M464" s="43" t="s">
        <v>313</v>
      </c>
      <c r="N464">
        <v>15</v>
      </c>
      <c r="O464" s="57">
        <v>42430</v>
      </c>
    </row>
    <row r="465" spans="1:15" ht="26.4" x14ac:dyDescent="0.25">
      <c r="A465" s="41" t="s">
        <v>967</v>
      </c>
      <c r="B465" s="52">
        <v>31990359</v>
      </c>
      <c r="C465" s="46">
        <v>900</v>
      </c>
      <c r="D465" s="43" t="s">
        <v>1232</v>
      </c>
      <c r="E465" s="35" t="s">
        <v>1233</v>
      </c>
      <c r="F465" s="44" t="s">
        <v>569</v>
      </c>
      <c r="G465" s="36" t="s">
        <v>163</v>
      </c>
      <c r="H465" s="36" t="s">
        <v>163</v>
      </c>
      <c r="I465" s="36" t="s">
        <v>163</v>
      </c>
      <c r="J465" s="43" t="s">
        <v>970</v>
      </c>
      <c r="K465" s="35" t="s">
        <v>285</v>
      </c>
      <c r="L465" s="43" t="s">
        <v>723</v>
      </c>
      <c r="M465" s="43" t="s">
        <v>313</v>
      </c>
      <c r="N465">
        <v>3</v>
      </c>
      <c r="O465" s="57">
        <v>42436</v>
      </c>
    </row>
    <row r="466" spans="1:15" ht="26.4" x14ac:dyDescent="0.25">
      <c r="A466" s="41" t="s">
        <v>967</v>
      </c>
      <c r="B466" s="8">
        <v>31990359</v>
      </c>
      <c r="C466" s="46">
        <v>600</v>
      </c>
      <c r="D466" s="43" t="s">
        <v>1234</v>
      </c>
      <c r="E466" s="35" t="s">
        <v>1235</v>
      </c>
      <c r="F466" s="44" t="s">
        <v>569</v>
      </c>
      <c r="G466" s="36" t="s">
        <v>163</v>
      </c>
      <c r="H466" s="36" t="s">
        <v>163</v>
      </c>
      <c r="I466" s="36" t="s">
        <v>163</v>
      </c>
      <c r="J466" s="43" t="s">
        <v>1236</v>
      </c>
      <c r="K466" s="35" t="s">
        <v>1150</v>
      </c>
      <c r="L466" s="43" t="s">
        <v>723</v>
      </c>
      <c r="M466" s="43" t="s">
        <v>269</v>
      </c>
      <c r="N466">
        <v>3</v>
      </c>
      <c r="O466" s="57">
        <v>42430</v>
      </c>
    </row>
    <row r="467" spans="1:15" ht="26.4" x14ac:dyDescent="0.25">
      <c r="A467" s="41" t="s">
        <v>565</v>
      </c>
      <c r="B467" s="42">
        <v>12397514</v>
      </c>
      <c r="C467" s="46">
        <v>1300</v>
      </c>
      <c r="D467" s="43" t="s">
        <v>1237</v>
      </c>
      <c r="E467" s="36" t="s">
        <v>1238</v>
      </c>
      <c r="F467" s="90" t="s">
        <v>1239</v>
      </c>
      <c r="G467" s="36" t="s">
        <v>163</v>
      </c>
      <c r="H467" s="36" t="s">
        <v>163</v>
      </c>
      <c r="I467" s="36" t="s">
        <v>163</v>
      </c>
      <c r="J467" s="35" t="s">
        <v>566</v>
      </c>
      <c r="K467">
        <v>92</v>
      </c>
      <c r="L467" t="s">
        <v>141</v>
      </c>
      <c r="M467" s="35" t="s">
        <v>414</v>
      </c>
      <c r="N467">
        <v>5</v>
      </c>
      <c r="O467" s="57">
        <v>42430</v>
      </c>
    </row>
    <row r="468" spans="1:15" s="74" customFormat="1" ht="26.4" x14ac:dyDescent="0.25">
      <c r="A468" s="67" t="s">
        <v>917</v>
      </c>
      <c r="B468" s="88">
        <v>36154751</v>
      </c>
      <c r="C468" s="76">
        <v>528.91999999999996</v>
      </c>
      <c r="D468" s="77" t="s">
        <v>1240</v>
      </c>
      <c r="E468" s="79" t="s">
        <v>1243</v>
      </c>
      <c r="F468" s="79" t="s">
        <v>569</v>
      </c>
      <c r="G468" s="36" t="s">
        <v>163</v>
      </c>
      <c r="H468" s="36" t="s">
        <v>163</v>
      </c>
      <c r="I468" s="36" t="s">
        <v>163</v>
      </c>
      <c r="J468" s="77" t="s">
        <v>889</v>
      </c>
      <c r="K468" s="73" t="s">
        <v>143</v>
      </c>
      <c r="L468" s="77" t="s">
        <v>141</v>
      </c>
      <c r="M468" s="77" t="s">
        <v>313</v>
      </c>
      <c r="N468" s="74">
        <v>15</v>
      </c>
      <c r="O468" s="75">
        <v>42430</v>
      </c>
    </row>
    <row r="469" spans="1:15" ht="26.4" x14ac:dyDescent="0.25">
      <c r="A469" s="41" t="s">
        <v>1047</v>
      </c>
      <c r="B469" s="52">
        <v>36917675</v>
      </c>
      <c r="C469" s="60">
        <v>528.91999999999996</v>
      </c>
      <c r="D469" s="43" t="s">
        <v>1241</v>
      </c>
      <c r="E469" s="53" t="s">
        <v>1242</v>
      </c>
      <c r="F469" s="44" t="s">
        <v>569</v>
      </c>
      <c r="G469" s="36" t="s">
        <v>163</v>
      </c>
      <c r="H469" s="36" t="s">
        <v>163</v>
      </c>
      <c r="I469" s="36" t="s">
        <v>163</v>
      </c>
      <c r="J469" s="43" t="s">
        <v>1244</v>
      </c>
      <c r="K469" s="35">
        <v>428</v>
      </c>
      <c r="L469" s="43" t="s">
        <v>141</v>
      </c>
      <c r="M469" s="43" t="s">
        <v>313</v>
      </c>
      <c r="N469">
        <v>15</v>
      </c>
      <c r="O469" s="57">
        <v>42430</v>
      </c>
    </row>
    <row r="470" spans="1:15" ht="26.4" x14ac:dyDescent="0.25">
      <c r="A470" s="67" t="s">
        <v>565</v>
      </c>
      <c r="B470" s="84">
        <v>12397514</v>
      </c>
      <c r="C470" s="46">
        <v>1360</v>
      </c>
      <c r="D470" s="43" t="s">
        <v>1245</v>
      </c>
      <c r="E470" s="54" t="s">
        <v>593</v>
      </c>
      <c r="F470" s="44" t="s">
        <v>569</v>
      </c>
      <c r="G470" s="36" t="s">
        <v>163</v>
      </c>
      <c r="H470" s="36" t="s">
        <v>163</v>
      </c>
      <c r="I470" s="36" t="s">
        <v>163</v>
      </c>
      <c r="J470" s="43" t="s">
        <v>1166</v>
      </c>
      <c r="K470">
        <v>92</v>
      </c>
      <c r="L470" s="43" t="s">
        <v>141</v>
      </c>
      <c r="M470" s="43" t="s">
        <v>269</v>
      </c>
      <c r="N470">
        <v>5</v>
      </c>
      <c r="O470" s="57">
        <v>42439</v>
      </c>
    </row>
    <row r="471" spans="1:15" ht="26.4" x14ac:dyDescent="0.25">
      <c r="A471" s="67" t="s">
        <v>1246</v>
      </c>
      <c r="B471" s="84">
        <v>17115869</v>
      </c>
      <c r="C471" s="46">
        <v>15000</v>
      </c>
      <c r="D471" s="43" t="s">
        <v>1250</v>
      </c>
      <c r="E471" s="35" t="s">
        <v>1251</v>
      </c>
      <c r="F471" s="36" t="s">
        <v>1252</v>
      </c>
      <c r="G471" s="36" t="s">
        <v>163</v>
      </c>
      <c r="H471" s="36" t="s">
        <v>163</v>
      </c>
      <c r="I471" s="36" t="s">
        <v>163</v>
      </c>
      <c r="J471" s="43" t="s">
        <v>1132</v>
      </c>
      <c r="K471" t="s">
        <v>1150</v>
      </c>
      <c r="L471" s="43" t="s">
        <v>141</v>
      </c>
      <c r="M471" s="43" t="s">
        <v>269</v>
      </c>
      <c r="N471">
        <v>6</v>
      </c>
      <c r="O471" s="57">
        <v>42452</v>
      </c>
    </row>
    <row r="472" spans="1:15" ht="26.4" x14ac:dyDescent="0.25">
      <c r="A472" s="67" t="s">
        <v>1224</v>
      </c>
      <c r="B472" s="84">
        <v>36146287</v>
      </c>
      <c r="C472" s="46">
        <v>3000</v>
      </c>
      <c r="D472" s="43" t="s">
        <v>1247</v>
      </c>
      <c r="E472" s="54" t="s">
        <v>593</v>
      </c>
      <c r="F472" s="44" t="s">
        <v>569</v>
      </c>
      <c r="G472" s="36" t="s">
        <v>163</v>
      </c>
      <c r="H472" s="36" t="s">
        <v>163</v>
      </c>
      <c r="I472" s="36" t="s">
        <v>163</v>
      </c>
      <c r="J472" s="43" t="s">
        <v>1221</v>
      </c>
      <c r="K472">
        <v>665</v>
      </c>
      <c r="L472" s="43" t="s">
        <v>141</v>
      </c>
      <c r="M472" s="43" t="s">
        <v>269</v>
      </c>
      <c r="N472">
        <v>1</v>
      </c>
      <c r="O472" s="57">
        <v>42452</v>
      </c>
    </row>
    <row r="473" spans="1:15" ht="26.4" x14ac:dyDescent="0.25">
      <c r="A473" s="41" t="s">
        <v>863</v>
      </c>
      <c r="B473" s="42">
        <v>22214698</v>
      </c>
      <c r="C473" s="46">
        <v>16275</v>
      </c>
      <c r="D473" s="43" t="s">
        <v>1248</v>
      </c>
      <c r="E473" s="35" t="s">
        <v>1249</v>
      </c>
      <c r="F473" s="44" t="s">
        <v>569</v>
      </c>
      <c r="G473" s="36" t="s">
        <v>163</v>
      </c>
      <c r="H473" s="36" t="s">
        <v>163</v>
      </c>
      <c r="I473" s="36" t="s">
        <v>163</v>
      </c>
      <c r="J473" s="43" t="s">
        <v>864</v>
      </c>
      <c r="K473" s="35" t="s">
        <v>285</v>
      </c>
      <c r="L473" s="43" t="s">
        <v>865</v>
      </c>
      <c r="M473" s="43" t="s">
        <v>313</v>
      </c>
      <c r="N473">
        <v>3</v>
      </c>
      <c r="O473" s="57">
        <v>42447</v>
      </c>
    </row>
    <row r="474" spans="1:15" ht="26.4" x14ac:dyDescent="0.25">
      <c r="A474" s="67" t="s">
        <v>1016</v>
      </c>
      <c r="B474" s="42">
        <v>39025795</v>
      </c>
      <c r="C474" s="46">
        <v>1960</v>
      </c>
      <c r="D474" s="43" t="s">
        <v>1253</v>
      </c>
      <c r="E474" t="s">
        <v>1254</v>
      </c>
      <c r="F474" s="44" t="s">
        <v>646</v>
      </c>
      <c r="G474" s="36" t="s">
        <v>163</v>
      </c>
      <c r="H474" s="36" t="s">
        <v>163</v>
      </c>
      <c r="I474" s="36" t="s">
        <v>163</v>
      </c>
      <c r="J474" s="43" t="s">
        <v>664</v>
      </c>
      <c r="K474" s="35">
        <v>78</v>
      </c>
      <c r="L474" s="43" t="s">
        <v>141</v>
      </c>
      <c r="M474" s="43" t="s">
        <v>269</v>
      </c>
      <c r="N474">
        <v>31</v>
      </c>
      <c r="O474" s="57">
        <v>42430</v>
      </c>
    </row>
    <row r="475" spans="1:15" ht="26.4" x14ac:dyDescent="0.25">
      <c r="A475" s="67" t="s">
        <v>1215</v>
      </c>
      <c r="B475" s="84">
        <v>22104090</v>
      </c>
      <c r="C475" s="46">
        <v>3000</v>
      </c>
      <c r="D475" s="43" t="s">
        <v>1255</v>
      </c>
      <c r="E475" s="54" t="s">
        <v>593</v>
      </c>
      <c r="F475" s="44" t="s">
        <v>569</v>
      </c>
      <c r="G475" s="36" t="s">
        <v>163</v>
      </c>
      <c r="H475" s="36" t="s">
        <v>163</v>
      </c>
      <c r="I475" s="36" t="s">
        <v>163</v>
      </c>
      <c r="J475" s="43" t="s">
        <v>1216</v>
      </c>
      <c r="K475" t="s">
        <v>1150</v>
      </c>
      <c r="L475" s="43" t="s">
        <v>141</v>
      </c>
      <c r="M475" s="43" t="s">
        <v>269</v>
      </c>
      <c r="N475">
        <v>15</v>
      </c>
      <c r="O475" s="57">
        <v>42438</v>
      </c>
    </row>
    <row r="476" spans="1:15" ht="26.4" x14ac:dyDescent="0.25">
      <c r="A476" s="67" t="s">
        <v>1178</v>
      </c>
      <c r="B476" s="84">
        <v>28837107</v>
      </c>
      <c r="C476" s="46">
        <v>5500</v>
      </c>
      <c r="D476" s="43" t="s">
        <v>1256</v>
      </c>
      <c r="E476" s="83" t="s">
        <v>593</v>
      </c>
      <c r="F476" s="44" t="s">
        <v>569</v>
      </c>
      <c r="G476" s="36" t="s">
        <v>163</v>
      </c>
      <c r="H476" s="36" t="s">
        <v>163</v>
      </c>
      <c r="I476" s="36" t="s">
        <v>163</v>
      </c>
      <c r="J476" s="43" t="s">
        <v>662</v>
      </c>
      <c r="K476" s="35" t="s">
        <v>1150</v>
      </c>
      <c r="L476" s="43" t="s">
        <v>141</v>
      </c>
      <c r="M476" s="43" t="s">
        <v>269</v>
      </c>
      <c r="N476">
        <v>15</v>
      </c>
      <c r="O476" s="57">
        <v>42438</v>
      </c>
    </row>
    <row r="477" spans="1:15" ht="26.4" x14ac:dyDescent="0.25">
      <c r="A477" s="41" t="s">
        <v>982</v>
      </c>
      <c r="B477" s="84">
        <v>22008433</v>
      </c>
      <c r="C477" s="46">
        <v>1535</v>
      </c>
      <c r="D477" s="43" t="s">
        <v>1257</v>
      </c>
      <c r="E477" s="35" t="s">
        <v>608</v>
      </c>
      <c r="F477" s="68" t="s">
        <v>990</v>
      </c>
      <c r="G477" s="36" t="s">
        <v>163</v>
      </c>
      <c r="H477" s="36" t="s">
        <v>163</v>
      </c>
      <c r="I477" s="36" t="s">
        <v>163</v>
      </c>
      <c r="J477" s="43" t="s">
        <v>983</v>
      </c>
      <c r="L477" s="43" t="s">
        <v>141</v>
      </c>
      <c r="M477" s="43" t="s">
        <v>313</v>
      </c>
      <c r="N477">
        <v>31</v>
      </c>
      <c r="O477" s="57">
        <v>42430</v>
      </c>
    </row>
    <row r="478" spans="1:15" ht="26.4" x14ac:dyDescent="0.25">
      <c r="A478" s="67" t="s">
        <v>894</v>
      </c>
      <c r="B478" s="8" t="s">
        <v>1258</v>
      </c>
      <c r="C478" s="46">
        <v>7500</v>
      </c>
      <c r="D478" s="43" t="s">
        <v>1259</v>
      </c>
      <c r="E478" s="35" t="s">
        <v>1260</v>
      </c>
      <c r="F478" s="36" t="s">
        <v>1261</v>
      </c>
      <c r="G478" s="36" t="s">
        <v>163</v>
      </c>
      <c r="H478" s="36" t="s">
        <v>163</v>
      </c>
      <c r="I478" s="36" t="s">
        <v>163</v>
      </c>
      <c r="J478" s="43" t="s">
        <v>896</v>
      </c>
      <c r="K478">
        <v>471</v>
      </c>
      <c r="L478" s="43" t="s">
        <v>141</v>
      </c>
      <c r="M478" s="43" t="s">
        <v>269</v>
      </c>
      <c r="N478">
        <v>30</v>
      </c>
      <c r="O478" s="57">
        <v>42457</v>
      </c>
    </row>
    <row r="479" spans="1:15" ht="26.4" x14ac:dyDescent="0.25">
      <c r="A479" s="67" t="s">
        <v>894</v>
      </c>
      <c r="B479" s="8" t="s">
        <v>1258</v>
      </c>
      <c r="C479" s="46">
        <v>300</v>
      </c>
      <c r="D479" s="43" t="s">
        <v>1262</v>
      </c>
      <c r="E479" s="53" t="s">
        <v>593</v>
      </c>
      <c r="F479" s="44" t="s">
        <v>569</v>
      </c>
      <c r="G479" s="36" t="s">
        <v>163</v>
      </c>
      <c r="H479" s="36" t="s">
        <v>163</v>
      </c>
      <c r="I479" s="36" t="s">
        <v>163</v>
      </c>
      <c r="J479" s="43" t="s">
        <v>896</v>
      </c>
      <c r="K479">
        <v>471</v>
      </c>
      <c r="L479" s="43" t="s">
        <v>141</v>
      </c>
      <c r="M479" s="43" t="s">
        <v>269</v>
      </c>
      <c r="N479">
        <v>2</v>
      </c>
      <c r="O479" s="57">
        <v>42451</v>
      </c>
    </row>
    <row r="480" spans="1:15" ht="26.4" x14ac:dyDescent="0.25">
      <c r="A480" s="41" t="s">
        <v>502</v>
      </c>
      <c r="B480" s="42">
        <v>11199679</v>
      </c>
      <c r="C480" s="46">
        <v>2135</v>
      </c>
      <c r="D480" s="36" t="s">
        <v>1266</v>
      </c>
      <c r="E480" s="44" t="s">
        <v>593</v>
      </c>
      <c r="F480" s="36" t="s">
        <v>1267</v>
      </c>
      <c r="G480" s="36" t="s">
        <v>163</v>
      </c>
      <c r="H480" s="36" t="s">
        <v>163</v>
      </c>
      <c r="I480" s="36" t="s">
        <v>163</v>
      </c>
      <c r="J480" s="43" t="s">
        <v>748</v>
      </c>
      <c r="K480" s="43">
        <v>125</v>
      </c>
      <c r="L480" s="43" t="s">
        <v>141</v>
      </c>
      <c r="M480" s="43" t="s">
        <v>313</v>
      </c>
      <c r="N480">
        <v>31</v>
      </c>
      <c r="O480" s="57">
        <v>42430</v>
      </c>
    </row>
    <row r="481" spans="1:15" ht="26.4" x14ac:dyDescent="0.25">
      <c r="A481" s="67" t="s">
        <v>1169</v>
      </c>
      <c r="B481" s="8">
        <v>33117082</v>
      </c>
      <c r="C481" s="46">
        <v>5490</v>
      </c>
      <c r="D481" s="36" t="s">
        <v>1263</v>
      </c>
      <c r="E481" t="s">
        <v>1167</v>
      </c>
      <c r="F481" s="54" t="s">
        <v>569</v>
      </c>
      <c r="G481" s="36" t="s">
        <v>163</v>
      </c>
      <c r="H481" s="36" t="s">
        <v>163</v>
      </c>
      <c r="I481" s="36" t="s">
        <v>163</v>
      </c>
      <c r="J481" s="43" t="s">
        <v>748</v>
      </c>
      <c r="K481" t="s">
        <v>1150</v>
      </c>
      <c r="L481" s="43" t="s">
        <v>141</v>
      </c>
      <c r="M481" s="43" t="s">
        <v>269</v>
      </c>
      <c r="N481">
        <v>31</v>
      </c>
      <c r="O481" s="57">
        <v>42430</v>
      </c>
    </row>
    <row r="482" spans="1:15" ht="26.4" x14ac:dyDescent="0.25">
      <c r="A482" s="67" t="s">
        <v>1209</v>
      </c>
      <c r="B482" s="89">
        <v>14948955</v>
      </c>
      <c r="C482" s="46">
        <v>8550</v>
      </c>
      <c r="D482" s="77" t="s">
        <v>1210</v>
      </c>
      <c r="E482" s="53" t="s">
        <v>593</v>
      </c>
      <c r="F482" s="54" t="s">
        <v>569</v>
      </c>
      <c r="G482" s="36" t="s">
        <v>163</v>
      </c>
      <c r="H482" s="36" t="s">
        <v>163</v>
      </c>
      <c r="I482" s="36" t="s">
        <v>163</v>
      </c>
      <c r="J482" s="77" t="s">
        <v>1211</v>
      </c>
      <c r="K482" t="s">
        <v>1150</v>
      </c>
      <c r="L482" s="77" t="s">
        <v>723</v>
      </c>
      <c r="M482" s="77" t="s">
        <v>269</v>
      </c>
      <c r="N482" s="74">
        <v>5</v>
      </c>
      <c r="O482" s="57">
        <v>42450</v>
      </c>
    </row>
    <row r="483" spans="1:15" ht="26.4" x14ac:dyDescent="0.25">
      <c r="A483" s="41" t="s">
        <v>565</v>
      </c>
      <c r="B483" s="42">
        <v>12397514</v>
      </c>
      <c r="C483" s="46">
        <v>800</v>
      </c>
      <c r="D483" s="43" t="s">
        <v>1264</v>
      </c>
      <c r="E483" s="36" t="s">
        <v>1265</v>
      </c>
      <c r="F483" s="51" t="s">
        <v>569</v>
      </c>
      <c r="G483" s="36" t="s">
        <v>163</v>
      </c>
      <c r="H483" s="36" t="s">
        <v>163</v>
      </c>
      <c r="I483" s="36" t="s">
        <v>163</v>
      </c>
      <c r="J483" s="35" t="s">
        <v>566</v>
      </c>
      <c r="K483">
        <v>92</v>
      </c>
      <c r="L483" t="s">
        <v>141</v>
      </c>
      <c r="M483" s="35" t="s">
        <v>414</v>
      </c>
      <c r="N483">
        <v>5</v>
      </c>
      <c r="O483" s="57">
        <v>42457</v>
      </c>
    </row>
    <row r="484" spans="1:15" ht="26.4" x14ac:dyDescent="0.25">
      <c r="A484" s="41" t="s">
        <v>565</v>
      </c>
      <c r="B484" s="42">
        <v>12397514</v>
      </c>
      <c r="C484" s="46">
        <v>950</v>
      </c>
      <c r="D484" s="43" t="s">
        <v>1268</v>
      </c>
      <c r="E484" s="44" t="s">
        <v>593</v>
      </c>
      <c r="F484" s="51" t="s">
        <v>569</v>
      </c>
      <c r="G484" s="36" t="s">
        <v>163</v>
      </c>
      <c r="H484" s="36" t="s">
        <v>163</v>
      </c>
      <c r="I484" s="36" t="s">
        <v>163</v>
      </c>
      <c r="J484" s="35" t="s">
        <v>566</v>
      </c>
      <c r="K484">
        <v>92</v>
      </c>
      <c r="L484" t="s">
        <v>141</v>
      </c>
      <c r="M484" s="35" t="s">
        <v>414</v>
      </c>
      <c r="N484">
        <v>6</v>
      </c>
      <c r="O484" s="57">
        <v>42452</v>
      </c>
    </row>
    <row r="485" spans="1:15" ht="26.4" x14ac:dyDescent="0.25">
      <c r="A485" s="41" t="s">
        <v>908</v>
      </c>
      <c r="B485" s="52">
        <v>23398053</v>
      </c>
      <c r="C485" s="46">
        <v>1100</v>
      </c>
      <c r="D485" s="43" t="s">
        <v>1269</v>
      </c>
      <c r="E485" s="35" t="s">
        <v>1270</v>
      </c>
      <c r="F485" s="44" t="s">
        <v>569</v>
      </c>
      <c r="G485" s="36" t="s">
        <v>163</v>
      </c>
      <c r="H485" s="36" t="s">
        <v>163</v>
      </c>
      <c r="I485" s="36" t="s">
        <v>163</v>
      </c>
      <c r="J485" s="43" t="s">
        <v>896</v>
      </c>
      <c r="K485">
        <v>195</v>
      </c>
      <c r="L485" s="43" t="s">
        <v>141</v>
      </c>
      <c r="M485" s="43" t="s">
        <v>313</v>
      </c>
      <c r="N485">
        <v>2</v>
      </c>
      <c r="O485" s="57">
        <v>42450</v>
      </c>
    </row>
    <row r="486" spans="1:15" ht="26.4" x14ac:dyDescent="0.25">
      <c r="A486" s="67" t="s">
        <v>967</v>
      </c>
      <c r="B486" s="84">
        <v>31990359</v>
      </c>
      <c r="C486" s="46">
        <v>1800</v>
      </c>
      <c r="D486" s="43" t="s">
        <v>1271</v>
      </c>
      <c r="E486" t="s">
        <v>1282</v>
      </c>
      <c r="F486" s="54" t="s">
        <v>1272</v>
      </c>
      <c r="G486" s="36" t="s">
        <v>163</v>
      </c>
      <c r="H486" s="36" t="s">
        <v>163</v>
      </c>
      <c r="I486" s="36" t="s">
        <v>163</v>
      </c>
      <c r="J486" t="s">
        <v>1236</v>
      </c>
      <c r="K486" t="s">
        <v>1150</v>
      </c>
      <c r="L486" t="s">
        <v>723</v>
      </c>
      <c r="M486" t="s">
        <v>269</v>
      </c>
      <c r="N486">
        <v>10</v>
      </c>
      <c r="O486" s="57">
        <v>42460</v>
      </c>
    </row>
    <row r="487" spans="1:15" ht="26.4" x14ac:dyDescent="0.25">
      <c r="A487" s="67" t="s">
        <v>967</v>
      </c>
      <c r="B487" s="84">
        <v>31990359</v>
      </c>
      <c r="C487" s="46">
        <v>500</v>
      </c>
      <c r="D487" s="43" t="s">
        <v>1273</v>
      </c>
      <c r="E487" s="53" t="s">
        <v>1274</v>
      </c>
      <c r="F487" s="54" t="s">
        <v>569</v>
      </c>
      <c r="G487" s="36" t="s">
        <v>163</v>
      </c>
      <c r="H487" s="36" t="s">
        <v>163</v>
      </c>
      <c r="I487" s="36" t="s">
        <v>163</v>
      </c>
      <c r="J487" t="s">
        <v>1236</v>
      </c>
      <c r="K487" t="s">
        <v>1150</v>
      </c>
      <c r="L487" t="s">
        <v>723</v>
      </c>
      <c r="M487" t="s">
        <v>269</v>
      </c>
      <c r="N487">
        <v>3</v>
      </c>
      <c r="O487" s="57">
        <v>42465</v>
      </c>
    </row>
    <row r="488" spans="1:15" ht="26.4" x14ac:dyDescent="0.25">
      <c r="A488" s="67" t="s">
        <v>1194</v>
      </c>
      <c r="B488" s="89">
        <v>24364859</v>
      </c>
      <c r="C488" s="46">
        <v>4000</v>
      </c>
      <c r="D488" s="77" t="s">
        <v>1195</v>
      </c>
      <c r="E488" t="s">
        <v>1196</v>
      </c>
      <c r="F488" s="79" t="s">
        <v>569</v>
      </c>
      <c r="G488" s="36" t="s">
        <v>163</v>
      </c>
      <c r="H488" s="36" t="s">
        <v>163</v>
      </c>
      <c r="I488" s="36" t="s">
        <v>163</v>
      </c>
      <c r="J488" s="77" t="s">
        <v>1199</v>
      </c>
      <c r="K488">
        <v>423</v>
      </c>
      <c r="L488" s="77" t="s">
        <v>1197</v>
      </c>
      <c r="M488" s="77" t="s">
        <v>1198</v>
      </c>
      <c r="N488" s="74">
        <v>360</v>
      </c>
      <c r="O488" s="57">
        <v>42461</v>
      </c>
    </row>
    <row r="489" spans="1:15" ht="26.4" x14ac:dyDescent="0.25">
      <c r="A489" s="67" t="s">
        <v>1137</v>
      </c>
      <c r="B489" s="88">
        <v>27521963</v>
      </c>
      <c r="C489" s="46">
        <v>2250</v>
      </c>
      <c r="D489" s="77" t="s">
        <v>1275</v>
      </c>
      <c r="E489" s="79" t="s">
        <v>593</v>
      </c>
      <c r="F489" s="54" t="s">
        <v>569</v>
      </c>
      <c r="G489" s="36" t="s">
        <v>163</v>
      </c>
      <c r="H489" s="36" t="s">
        <v>163</v>
      </c>
      <c r="I489" s="36" t="s">
        <v>163</v>
      </c>
      <c r="J489" s="77" t="s">
        <v>1107</v>
      </c>
      <c r="K489" s="80" t="s">
        <v>285</v>
      </c>
      <c r="L489" s="77" t="s">
        <v>1139</v>
      </c>
      <c r="M489" s="77" t="s">
        <v>313</v>
      </c>
      <c r="N489" s="74">
        <v>30</v>
      </c>
      <c r="O489" s="57">
        <v>42404</v>
      </c>
    </row>
    <row r="490" spans="1:15" ht="26.4" x14ac:dyDescent="0.25">
      <c r="A490" s="67" t="s">
        <v>1190</v>
      </c>
      <c r="B490" s="89">
        <v>27263557</v>
      </c>
      <c r="C490" s="46">
        <v>1800</v>
      </c>
      <c r="D490" s="77" t="s">
        <v>1276</v>
      </c>
      <c r="E490" s="54" t="s">
        <v>593</v>
      </c>
      <c r="F490" s="79" t="s">
        <v>569</v>
      </c>
      <c r="G490" s="36" t="s">
        <v>163</v>
      </c>
      <c r="H490" s="36" t="s">
        <v>163</v>
      </c>
      <c r="I490" s="36" t="s">
        <v>163</v>
      </c>
      <c r="J490" s="77" t="s">
        <v>1192</v>
      </c>
      <c r="K490" s="73" t="s">
        <v>1150</v>
      </c>
      <c r="L490" s="77" t="s">
        <v>141</v>
      </c>
      <c r="M490" s="77" t="s">
        <v>269</v>
      </c>
      <c r="N490" s="74">
        <v>30</v>
      </c>
      <c r="O490" s="57">
        <v>42431</v>
      </c>
    </row>
    <row r="491" spans="1:15" ht="26.4" x14ac:dyDescent="0.25">
      <c r="A491" s="41" t="s">
        <v>565</v>
      </c>
      <c r="B491" s="42">
        <v>12397514</v>
      </c>
      <c r="C491" s="46">
        <v>960</v>
      </c>
      <c r="D491" s="43" t="s">
        <v>1277</v>
      </c>
      <c r="E491" s="44" t="s">
        <v>593</v>
      </c>
      <c r="F491" s="51" t="s">
        <v>569</v>
      </c>
      <c r="G491" s="36" t="s">
        <v>163</v>
      </c>
      <c r="H491" s="36" t="s">
        <v>163</v>
      </c>
      <c r="I491" s="36" t="s">
        <v>163</v>
      </c>
      <c r="J491" s="35" t="s">
        <v>566</v>
      </c>
      <c r="K491">
        <v>92</v>
      </c>
      <c r="L491" t="s">
        <v>141</v>
      </c>
      <c r="M491" s="35" t="s">
        <v>414</v>
      </c>
      <c r="N491">
        <v>6</v>
      </c>
      <c r="O491" s="57">
        <v>42461</v>
      </c>
    </row>
    <row r="492" spans="1:15" ht="26.4" x14ac:dyDescent="0.25">
      <c r="A492" s="41" t="s">
        <v>565</v>
      </c>
      <c r="B492" s="42">
        <v>12397514</v>
      </c>
      <c r="C492" s="46">
        <v>350</v>
      </c>
      <c r="D492" s="43" t="s">
        <v>1278</v>
      </c>
      <c r="E492" s="36" t="s">
        <v>1279</v>
      </c>
      <c r="F492" s="51" t="s">
        <v>569</v>
      </c>
      <c r="G492" s="36" t="s">
        <v>163</v>
      </c>
      <c r="H492" s="36" t="s">
        <v>163</v>
      </c>
      <c r="I492" s="36" t="s">
        <v>163</v>
      </c>
      <c r="J492" s="35" t="s">
        <v>566</v>
      </c>
      <c r="K492">
        <v>92</v>
      </c>
      <c r="L492" t="s">
        <v>141</v>
      </c>
      <c r="M492" s="35" t="s">
        <v>414</v>
      </c>
      <c r="N492">
        <v>6</v>
      </c>
      <c r="O492" s="57">
        <v>42461</v>
      </c>
    </row>
    <row r="493" spans="1:15" ht="26.4" x14ac:dyDescent="0.25">
      <c r="A493" s="67" t="s">
        <v>1280</v>
      </c>
      <c r="B493" s="84">
        <v>12099831</v>
      </c>
      <c r="C493" s="46">
        <v>1080</v>
      </c>
      <c r="D493" s="77" t="s">
        <v>1281</v>
      </c>
      <c r="E493" s="54" t="s">
        <v>593</v>
      </c>
      <c r="F493" s="54" t="s">
        <v>569</v>
      </c>
      <c r="G493" s="36" t="s">
        <v>163</v>
      </c>
      <c r="H493" s="36" t="s">
        <v>163</v>
      </c>
      <c r="I493" s="36" t="s">
        <v>163</v>
      </c>
      <c r="J493" s="77" t="s">
        <v>1107</v>
      </c>
      <c r="K493" t="s">
        <v>1150</v>
      </c>
      <c r="L493" s="77" t="s">
        <v>141</v>
      </c>
      <c r="M493" s="77" t="s">
        <v>414</v>
      </c>
      <c r="N493" s="74">
        <v>30</v>
      </c>
      <c r="O493" s="57">
        <v>42430</v>
      </c>
    </row>
    <row r="494" spans="1:15" ht="26.4" x14ac:dyDescent="0.25">
      <c r="A494" s="67" t="s">
        <v>1169</v>
      </c>
      <c r="B494" s="8">
        <v>33117082</v>
      </c>
      <c r="C494" s="46">
        <v>6125</v>
      </c>
      <c r="D494" s="36" t="s">
        <v>1283</v>
      </c>
      <c r="E494" s="54" t="s">
        <v>593</v>
      </c>
      <c r="F494" s="54" t="s">
        <v>569</v>
      </c>
      <c r="G494" s="36" t="s">
        <v>163</v>
      </c>
      <c r="H494" s="36" t="s">
        <v>163</v>
      </c>
      <c r="I494" s="36" t="s">
        <v>163</v>
      </c>
      <c r="J494" s="43" t="s">
        <v>748</v>
      </c>
      <c r="K494" t="s">
        <v>1150</v>
      </c>
      <c r="L494" s="43" t="s">
        <v>141</v>
      </c>
      <c r="M494" s="43" t="s">
        <v>269</v>
      </c>
      <c r="N494">
        <v>31</v>
      </c>
      <c r="O494" s="57">
        <v>42430</v>
      </c>
    </row>
    <row r="495" spans="1:15" ht="26.4" x14ac:dyDescent="0.25">
      <c r="A495" s="67" t="s">
        <v>1288</v>
      </c>
      <c r="B495" s="84">
        <v>25363932</v>
      </c>
      <c r="C495" s="46">
        <v>200000</v>
      </c>
      <c r="D495" s="65" t="s">
        <v>1287</v>
      </c>
      <c r="E495" s="81" t="s">
        <v>1285</v>
      </c>
      <c r="F495" s="81" t="s">
        <v>1286</v>
      </c>
      <c r="G495" s="36" t="s">
        <v>163</v>
      </c>
      <c r="H495" s="36" t="s">
        <v>163</v>
      </c>
      <c r="I495" s="36" t="s">
        <v>163</v>
      </c>
      <c r="J495" s="35" t="s">
        <v>1284</v>
      </c>
      <c r="K495">
        <v>5022</v>
      </c>
      <c r="L495" s="35" t="s">
        <v>269</v>
      </c>
      <c r="M495" s="35" t="s">
        <v>269</v>
      </c>
      <c r="N495">
        <v>45</v>
      </c>
      <c r="O495" s="57">
        <v>42478</v>
      </c>
    </row>
    <row r="496" spans="1:15" ht="13.2" customHeight="1" x14ac:dyDescent="0.25">
      <c r="A496" s="41" t="s">
        <v>816</v>
      </c>
      <c r="B496" s="42">
        <v>6698968</v>
      </c>
      <c r="C496" s="46">
        <v>1000</v>
      </c>
      <c r="D496" s="36" t="s">
        <v>1289</v>
      </c>
      <c r="E496" s="36" t="s">
        <v>1291</v>
      </c>
      <c r="F496" s="36" t="s">
        <v>1290</v>
      </c>
      <c r="G496" s="36" t="s">
        <v>163</v>
      </c>
      <c r="H496" s="36" t="s">
        <v>163</v>
      </c>
      <c r="I496" s="36" t="s">
        <v>163</v>
      </c>
      <c r="J496" s="43" t="s">
        <v>818</v>
      </c>
      <c r="K496" s="43" t="s">
        <v>285</v>
      </c>
      <c r="L496" s="43" t="s">
        <v>802</v>
      </c>
      <c r="M496" s="43" t="s">
        <v>313</v>
      </c>
      <c r="N496">
        <v>15</v>
      </c>
      <c r="O496" s="57">
        <v>42461</v>
      </c>
    </row>
    <row r="497" spans="1:15" ht="26.4" x14ac:dyDescent="0.25">
      <c r="A497" s="67" t="s">
        <v>1292</v>
      </c>
      <c r="B497" s="8">
        <v>21138611</v>
      </c>
      <c r="C497" s="46">
        <v>1060</v>
      </c>
      <c r="D497" s="36" t="s">
        <v>1293</v>
      </c>
      <c r="E497" s="54" t="s">
        <v>332</v>
      </c>
      <c r="F497" s="54" t="s">
        <v>329</v>
      </c>
      <c r="G497" s="36" t="s">
        <v>163</v>
      </c>
      <c r="H497" s="36" t="s">
        <v>163</v>
      </c>
      <c r="I497" s="36" t="s">
        <v>163</v>
      </c>
      <c r="J497" t="s">
        <v>1022</v>
      </c>
      <c r="K497">
        <v>196</v>
      </c>
      <c r="L497" t="s">
        <v>141</v>
      </c>
      <c r="M497" t="s">
        <v>269</v>
      </c>
      <c r="N497">
        <v>1</v>
      </c>
      <c r="O497" s="57">
        <v>42481</v>
      </c>
    </row>
    <row r="498" spans="1:15" ht="26.4" x14ac:dyDescent="0.25">
      <c r="A498" s="67" t="s">
        <v>1294</v>
      </c>
      <c r="B498" s="84">
        <v>22162376</v>
      </c>
      <c r="C498" s="46">
        <v>5600</v>
      </c>
      <c r="D498" s="36" t="s">
        <v>1296</v>
      </c>
      <c r="E498" s="35" t="s">
        <v>1297</v>
      </c>
      <c r="F498" s="54" t="s">
        <v>569</v>
      </c>
      <c r="G498" s="36" t="s">
        <v>163</v>
      </c>
      <c r="H498" s="36" t="s">
        <v>163</v>
      </c>
      <c r="I498" s="36" t="s">
        <v>163</v>
      </c>
      <c r="J498" t="s">
        <v>1295</v>
      </c>
      <c r="K498" t="s">
        <v>1150</v>
      </c>
      <c r="L498" t="s">
        <v>974</v>
      </c>
      <c r="M498" t="s">
        <v>269</v>
      </c>
      <c r="N498">
        <v>10</v>
      </c>
      <c r="O498" s="57">
        <v>42471</v>
      </c>
    </row>
    <row r="499" spans="1:15" ht="26.4" x14ac:dyDescent="0.25">
      <c r="A499" s="41" t="s">
        <v>565</v>
      </c>
      <c r="B499" s="42">
        <v>12397514</v>
      </c>
      <c r="C499" s="46">
        <v>600</v>
      </c>
      <c r="D499" s="43" t="s">
        <v>1298</v>
      </c>
      <c r="E499" s="36" t="s">
        <v>1299</v>
      </c>
      <c r="F499" s="51" t="s">
        <v>569</v>
      </c>
      <c r="G499" s="36" t="s">
        <v>163</v>
      </c>
      <c r="H499" s="36" t="s">
        <v>163</v>
      </c>
      <c r="I499" s="36" t="s">
        <v>163</v>
      </c>
      <c r="J499" s="35" t="s">
        <v>566</v>
      </c>
      <c r="K499">
        <v>92</v>
      </c>
      <c r="L499" t="s">
        <v>141</v>
      </c>
      <c r="M499" s="35" t="s">
        <v>414</v>
      </c>
      <c r="N499">
        <v>5</v>
      </c>
      <c r="O499" s="57">
        <v>42471</v>
      </c>
    </row>
    <row r="500" spans="1:15" ht="26.4" x14ac:dyDescent="0.25">
      <c r="A500" s="41" t="s">
        <v>967</v>
      </c>
      <c r="B500" s="52">
        <v>31990359</v>
      </c>
      <c r="C500" s="46">
        <v>600</v>
      </c>
      <c r="D500" s="43" t="s">
        <v>1300</v>
      </c>
      <c r="E500" s="53" t="s">
        <v>593</v>
      </c>
      <c r="F500" s="44" t="s">
        <v>569</v>
      </c>
      <c r="G500" s="36" t="s">
        <v>163</v>
      </c>
      <c r="H500" s="36" t="s">
        <v>163</v>
      </c>
      <c r="I500" s="36" t="s">
        <v>163</v>
      </c>
      <c r="J500" s="43" t="s">
        <v>970</v>
      </c>
      <c r="K500" s="35" t="s">
        <v>285</v>
      </c>
      <c r="L500" s="43" t="s">
        <v>723</v>
      </c>
      <c r="M500" s="43" t="s">
        <v>313</v>
      </c>
      <c r="N500">
        <v>3</v>
      </c>
      <c r="O500" s="57">
        <v>42478</v>
      </c>
    </row>
    <row r="501" spans="1:15" ht="26.4" x14ac:dyDescent="0.25">
      <c r="A501" s="67" t="s">
        <v>1301</v>
      </c>
      <c r="B501" s="84">
        <v>20082493</v>
      </c>
      <c r="C501" s="46">
        <v>3000</v>
      </c>
      <c r="D501" s="43" t="s">
        <v>1320</v>
      </c>
      <c r="E501" t="s">
        <v>1316</v>
      </c>
      <c r="F501" s="54" t="s">
        <v>569</v>
      </c>
      <c r="G501" s="36" t="s">
        <v>163</v>
      </c>
      <c r="H501" s="36" t="s">
        <v>163</v>
      </c>
      <c r="I501" s="36" t="s">
        <v>163</v>
      </c>
      <c r="J501" s="35" t="s">
        <v>889</v>
      </c>
      <c r="K501" s="35" t="s">
        <v>1150</v>
      </c>
      <c r="L501" t="s">
        <v>141</v>
      </c>
      <c r="M501" s="35" t="s">
        <v>269</v>
      </c>
      <c r="N501">
        <v>10</v>
      </c>
      <c r="O501" s="57">
        <v>42478</v>
      </c>
    </row>
    <row r="502" spans="1:15" ht="26.4" x14ac:dyDescent="0.25">
      <c r="A502" s="67" t="s">
        <v>1184</v>
      </c>
      <c r="B502" s="89">
        <v>18644221</v>
      </c>
      <c r="C502" s="46">
        <v>10000</v>
      </c>
      <c r="D502" s="77" t="s">
        <v>1302</v>
      </c>
      <c r="E502" t="s">
        <v>1303</v>
      </c>
      <c r="F502" s="79" t="s">
        <v>569</v>
      </c>
      <c r="G502" s="36" t="s">
        <v>163</v>
      </c>
      <c r="H502" s="36" t="s">
        <v>163</v>
      </c>
      <c r="I502" s="36" t="s">
        <v>163</v>
      </c>
      <c r="J502" s="77" t="s">
        <v>931</v>
      </c>
      <c r="K502">
        <v>325</v>
      </c>
      <c r="L502" s="77" t="s">
        <v>141</v>
      </c>
      <c r="M502" s="77" t="s">
        <v>269</v>
      </c>
      <c r="N502" s="74">
        <v>10</v>
      </c>
      <c r="O502" s="57">
        <v>42478</v>
      </c>
    </row>
    <row r="503" spans="1:15" ht="26.4" x14ac:dyDescent="0.25">
      <c r="A503" s="41" t="s">
        <v>1068</v>
      </c>
      <c r="B503" s="84">
        <v>33017391</v>
      </c>
      <c r="C503" s="46">
        <v>850</v>
      </c>
      <c r="D503" s="43" t="s">
        <v>1304</v>
      </c>
      <c r="E503" s="53" t="s">
        <v>593</v>
      </c>
      <c r="F503" s="44" t="s">
        <v>569</v>
      </c>
      <c r="G503" s="36" t="s">
        <v>163</v>
      </c>
      <c r="H503" s="36" t="s">
        <v>163</v>
      </c>
      <c r="I503" s="36" t="s">
        <v>163</v>
      </c>
      <c r="J503" s="43" t="s">
        <v>878</v>
      </c>
      <c r="K503" s="43" t="s">
        <v>285</v>
      </c>
      <c r="L503" s="43" t="s">
        <v>782</v>
      </c>
      <c r="M503" s="43" t="s">
        <v>313</v>
      </c>
      <c r="N503">
        <v>15</v>
      </c>
      <c r="O503" s="57">
        <v>42473</v>
      </c>
    </row>
    <row r="504" spans="1:15" ht="26.4" x14ac:dyDescent="0.25">
      <c r="A504" s="67" t="s">
        <v>1305</v>
      </c>
      <c r="B504" s="84">
        <v>10646425</v>
      </c>
      <c r="C504" s="46">
        <v>600</v>
      </c>
      <c r="D504" s="43" t="s">
        <v>1306</v>
      </c>
      <c r="E504" t="s">
        <v>1307</v>
      </c>
      <c r="F504" s="54" t="s">
        <v>569</v>
      </c>
      <c r="G504" s="36" t="s">
        <v>163</v>
      </c>
      <c r="H504" s="36" t="s">
        <v>163</v>
      </c>
      <c r="I504" s="36" t="s">
        <v>163</v>
      </c>
      <c r="J504" t="s">
        <v>1308</v>
      </c>
      <c r="K504" t="s">
        <v>1150</v>
      </c>
      <c r="L504" t="s">
        <v>974</v>
      </c>
      <c r="M504" t="s">
        <v>269</v>
      </c>
      <c r="N504">
        <v>1</v>
      </c>
      <c r="O504" s="57">
        <v>42487</v>
      </c>
    </row>
    <row r="505" spans="1:15" ht="26.4" x14ac:dyDescent="0.25">
      <c r="A505" s="67" t="s">
        <v>1309</v>
      </c>
      <c r="B505" s="84">
        <v>22135030</v>
      </c>
      <c r="C505" s="46">
        <f>26*150</f>
        <v>3900</v>
      </c>
      <c r="D505" s="43" t="s">
        <v>1310</v>
      </c>
      <c r="E505" t="s">
        <v>1311</v>
      </c>
      <c r="F505" t="s">
        <v>1312</v>
      </c>
      <c r="G505" s="36" t="s">
        <v>163</v>
      </c>
      <c r="H505" s="36" t="s">
        <v>163</v>
      </c>
      <c r="I505" s="36" t="s">
        <v>163</v>
      </c>
      <c r="J505" t="s">
        <v>1313</v>
      </c>
      <c r="K505">
        <v>284</v>
      </c>
      <c r="L505" t="s">
        <v>974</v>
      </c>
      <c r="M505" t="s">
        <v>269</v>
      </c>
      <c r="N505">
        <v>30</v>
      </c>
      <c r="O505" s="57">
        <v>42430</v>
      </c>
    </row>
    <row r="506" spans="1:15" ht="26.4" x14ac:dyDescent="0.25">
      <c r="A506" s="67" t="s">
        <v>1246</v>
      </c>
      <c r="B506" s="84">
        <v>17115869</v>
      </c>
      <c r="C506" s="46">
        <v>13000</v>
      </c>
      <c r="D506" s="43" t="s">
        <v>1315</v>
      </c>
      <c r="E506" t="s">
        <v>1314</v>
      </c>
      <c r="F506" s="54" t="s">
        <v>569</v>
      </c>
      <c r="G506" s="36" t="s">
        <v>163</v>
      </c>
      <c r="H506" s="36" t="s">
        <v>163</v>
      </c>
      <c r="I506" s="36" t="s">
        <v>163</v>
      </c>
      <c r="J506" t="s">
        <v>1132</v>
      </c>
      <c r="K506" t="s">
        <v>1150</v>
      </c>
      <c r="L506" t="s">
        <v>141</v>
      </c>
      <c r="M506" t="s">
        <v>269</v>
      </c>
      <c r="N506">
        <v>8</v>
      </c>
      <c r="O506" s="57">
        <v>42485</v>
      </c>
    </row>
    <row r="507" spans="1:15" ht="26.4" x14ac:dyDescent="0.25">
      <c r="A507" s="67" t="s">
        <v>1317</v>
      </c>
      <c r="B507" s="84">
        <v>12757728</v>
      </c>
      <c r="C507" s="46">
        <v>3200</v>
      </c>
      <c r="D507" s="43" t="s">
        <v>1318</v>
      </c>
      <c r="E507" s="53" t="s">
        <v>593</v>
      </c>
      <c r="F507" s="53" t="s">
        <v>646</v>
      </c>
      <c r="G507" s="36" t="s">
        <v>163</v>
      </c>
      <c r="H507" s="36" t="s">
        <v>163</v>
      </c>
      <c r="I507" s="36" t="s">
        <v>163</v>
      </c>
      <c r="J507" s="35" t="s">
        <v>1319</v>
      </c>
      <c r="K507" s="35" t="s">
        <v>1150</v>
      </c>
      <c r="L507" s="35" t="s">
        <v>865</v>
      </c>
      <c r="M507" s="35" t="s">
        <v>269</v>
      </c>
      <c r="N507">
        <v>2</v>
      </c>
      <c r="O507" s="57">
        <v>42492</v>
      </c>
    </row>
    <row r="508" spans="1:15" ht="26.4" x14ac:dyDescent="0.25">
      <c r="A508" s="67" t="s">
        <v>1301</v>
      </c>
      <c r="B508" s="84">
        <v>20082493</v>
      </c>
      <c r="C508" s="46">
        <v>2000</v>
      </c>
      <c r="D508" s="43" t="s">
        <v>1321</v>
      </c>
      <c r="E508" t="s">
        <v>1322</v>
      </c>
      <c r="F508" s="54" t="s">
        <v>569</v>
      </c>
      <c r="G508" s="36" t="s">
        <v>163</v>
      </c>
      <c r="H508" s="36" t="s">
        <v>163</v>
      </c>
      <c r="I508" s="36" t="s">
        <v>163</v>
      </c>
      <c r="J508" s="35" t="s">
        <v>889</v>
      </c>
      <c r="K508" s="35" t="s">
        <v>1150</v>
      </c>
      <c r="L508" t="s">
        <v>141</v>
      </c>
      <c r="M508" s="35" t="s">
        <v>269</v>
      </c>
      <c r="N508">
        <v>5</v>
      </c>
      <c r="O508" s="57">
        <v>42480</v>
      </c>
    </row>
    <row r="509" spans="1:15" ht="27" x14ac:dyDescent="0.3">
      <c r="A509" s="35" t="s">
        <v>1003</v>
      </c>
      <c r="B509" s="86">
        <v>93940424</v>
      </c>
      <c r="C509" s="46">
        <v>8700</v>
      </c>
      <c r="D509" s="43" t="s">
        <v>1323</v>
      </c>
      <c r="E509" s="35" t="s">
        <v>1007</v>
      </c>
      <c r="F509" s="35" t="s">
        <v>1008</v>
      </c>
      <c r="G509" s="36" t="s">
        <v>163</v>
      </c>
      <c r="H509" s="36" t="s">
        <v>163</v>
      </c>
      <c r="I509" s="36" t="s">
        <v>163</v>
      </c>
      <c r="J509" s="43" t="s">
        <v>1004</v>
      </c>
      <c r="L509" s="43" t="s">
        <v>1005</v>
      </c>
      <c r="M509" s="43" t="s">
        <v>313</v>
      </c>
      <c r="N509">
        <v>4</v>
      </c>
      <c r="O509" s="57">
        <v>42479</v>
      </c>
    </row>
    <row r="510" spans="1:15" ht="26.4" x14ac:dyDescent="0.25">
      <c r="A510" s="41" t="s">
        <v>502</v>
      </c>
      <c r="B510" s="42">
        <v>11199679</v>
      </c>
      <c r="C510" s="46">
        <v>1440</v>
      </c>
      <c r="D510" s="36" t="s">
        <v>1324</v>
      </c>
      <c r="E510" s="44" t="s">
        <v>593</v>
      </c>
      <c r="F510" s="36" t="s">
        <v>615</v>
      </c>
      <c r="G510" s="36" t="s">
        <v>163</v>
      </c>
      <c r="H510" s="36" t="s">
        <v>163</v>
      </c>
      <c r="I510" s="36" t="s">
        <v>163</v>
      </c>
      <c r="J510" s="43" t="s">
        <v>748</v>
      </c>
      <c r="K510" s="43">
        <v>125</v>
      </c>
      <c r="L510" s="43" t="s">
        <v>141</v>
      </c>
      <c r="M510" s="43" t="s">
        <v>313</v>
      </c>
      <c r="N510">
        <v>30</v>
      </c>
      <c r="O510" s="57">
        <v>42461</v>
      </c>
    </row>
    <row r="511" spans="1:15" ht="26.4" x14ac:dyDescent="0.25">
      <c r="A511" s="41" t="s">
        <v>908</v>
      </c>
      <c r="B511" s="52">
        <v>23398053</v>
      </c>
      <c r="C511" s="46">
        <v>1500</v>
      </c>
      <c r="D511" s="43" t="s">
        <v>1326</v>
      </c>
      <c r="E511" s="35" t="s">
        <v>1327</v>
      </c>
      <c r="F511" s="44" t="s">
        <v>569</v>
      </c>
      <c r="G511" s="36" t="s">
        <v>163</v>
      </c>
      <c r="H511" s="36" t="s">
        <v>163</v>
      </c>
      <c r="I511" s="36" t="s">
        <v>163</v>
      </c>
      <c r="J511" s="43" t="s">
        <v>896</v>
      </c>
      <c r="K511">
        <v>195</v>
      </c>
      <c r="L511" s="43" t="s">
        <v>141</v>
      </c>
      <c r="M511" s="43" t="s">
        <v>313</v>
      </c>
      <c r="N511">
        <v>4</v>
      </c>
      <c r="O511" s="57">
        <v>42485</v>
      </c>
    </row>
    <row r="512" spans="1:15" ht="26.4" x14ac:dyDescent="0.25">
      <c r="A512" s="41" t="s">
        <v>908</v>
      </c>
      <c r="B512" s="52">
        <v>23398053</v>
      </c>
      <c r="C512" s="46">
        <v>1500</v>
      </c>
      <c r="D512" s="43" t="s">
        <v>1328</v>
      </c>
      <c r="E512" s="35" t="s">
        <v>1329</v>
      </c>
      <c r="F512" s="44" t="s">
        <v>569</v>
      </c>
      <c r="G512" s="36" t="s">
        <v>163</v>
      </c>
      <c r="H512" s="36" t="s">
        <v>163</v>
      </c>
      <c r="I512" s="36" t="s">
        <v>163</v>
      </c>
      <c r="J512" s="43" t="s">
        <v>896</v>
      </c>
      <c r="K512">
        <v>195</v>
      </c>
      <c r="L512" s="43" t="s">
        <v>141</v>
      </c>
      <c r="M512" s="43" t="s">
        <v>313</v>
      </c>
      <c r="N512">
        <v>3</v>
      </c>
      <c r="O512" s="57">
        <v>42486</v>
      </c>
    </row>
    <row r="513" spans="1:15" ht="26.4" x14ac:dyDescent="0.25">
      <c r="A513" s="41" t="s">
        <v>982</v>
      </c>
      <c r="B513" s="84">
        <v>22008433</v>
      </c>
      <c r="C513" s="46">
        <v>2000</v>
      </c>
      <c r="D513" s="43" t="s">
        <v>1330</v>
      </c>
      <c r="E513" s="35" t="s">
        <v>989</v>
      </c>
      <c r="F513" s="68" t="s">
        <v>990</v>
      </c>
      <c r="G513" s="36" t="s">
        <v>163</v>
      </c>
      <c r="H513" s="36" t="s">
        <v>163</v>
      </c>
      <c r="I513" s="36" t="s">
        <v>163</v>
      </c>
      <c r="J513" s="43" t="s">
        <v>983</v>
      </c>
      <c r="L513" s="43" t="s">
        <v>141</v>
      </c>
      <c r="M513" s="43" t="s">
        <v>313</v>
      </c>
      <c r="N513">
        <v>30</v>
      </c>
      <c r="O513" s="57">
        <v>42461</v>
      </c>
    </row>
    <row r="514" spans="1:15" ht="26.4" x14ac:dyDescent="0.25">
      <c r="A514" s="41" t="s">
        <v>863</v>
      </c>
      <c r="B514" s="42">
        <v>22214698</v>
      </c>
      <c r="C514" s="46">
        <v>7115</v>
      </c>
      <c r="D514" s="43" t="s">
        <v>1331</v>
      </c>
      <c r="E514" s="35" t="s">
        <v>1332</v>
      </c>
      <c r="F514" s="44" t="s">
        <v>569</v>
      </c>
      <c r="G514" s="36" t="s">
        <v>163</v>
      </c>
      <c r="H514" s="36" t="s">
        <v>163</v>
      </c>
      <c r="I514" s="36" t="s">
        <v>163</v>
      </c>
      <c r="J514" s="43" t="s">
        <v>864</v>
      </c>
      <c r="K514" s="35" t="s">
        <v>285</v>
      </c>
      <c r="L514" s="43" t="s">
        <v>865</v>
      </c>
      <c r="M514" s="43" t="s">
        <v>313</v>
      </c>
      <c r="N514">
        <v>10</v>
      </c>
      <c r="O514" s="57">
        <v>42478</v>
      </c>
    </row>
    <row r="515" spans="1:15" ht="26.4" x14ac:dyDescent="0.25">
      <c r="A515" s="67" t="s">
        <v>1224</v>
      </c>
      <c r="B515" s="84">
        <v>36146287</v>
      </c>
      <c r="C515" s="46">
        <v>1200</v>
      </c>
      <c r="D515" s="77" t="s">
        <v>1334</v>
      </c>
      <c r="E515" t="s">
        <v>1335</v>
      </c>
      <c r="F515" s="35" t="s">
        <v>1333</v>
      </c>
      <c r="G515" s="36" t="s">
        <v>163</v>
      </c>
      <c r="H515" s="36" t="s">
        <v>163</v>
      </c>
      <c r="I515" s="36" t="s">
        <v>163</v>
      </c>
      <c r="J515" s="77" t="s">
        <v>1221</v>
      </c>
      <c r="K515">
        <v>665</v>
      </c>
      <c r="L515" s="77" t="s">
        <v>141</v>
      </c>
      <c r="M515" s="77" t="s">
        <v>269</v>
      </c>
      <c r="N515" s="74">
        <v>3</v>
      </c>
      <c r="O515" s="57">
        <v>42488</v>
      </c>
    </row>
    <row r="516" spans="1:15" ht="26.4" x14ac:dyDescent="0.25">
      <c r="A516" s="67" t="s">
        <v>1224</v>
      </c>
      <c r="B516" s="84">
        <v>36146287</v>
      </c>
      <c r="C516" s="46">
        <v>2600</v>
      </c>
      <c r="D516" s="77" t="s">
        <v>1336</v>
      </c>
      <c r="E516" t="s">
        <v>1338</v>
      </c>
      <c r="F516" s="36" t="s">
        <v>1337</v>
      </c>
      <c r="G516" s="36" t="s">
        <v>163</v>
      </c>
      <c r="H516" s="36" t="s">
        <v>163</v>
      </c>
      <c r="I516" s="36" t="s">
        <v>163</v>
      </c>
      <c r="J516" s="77" t="s">
        <v>1221</v>
      </c>
      <c r="K516">
        <v>665</v>
      </c>
      <c r="L516" s="77" t="s">
        <v>141</v>
      </c>
      <c r="M516" s="77" t="s">
        <v>269</v>
      </c>
      <c r="N516" s="74">
        <v>6</v>
      </c>
      <c r="O516" s="57">
        <v>42486</v>
      </c>
    </row>
    <row r="517" spans="1:15" ht="26.4" x14ac:dyDescent="0.25">
      <c r="A517" s="67" t="s">
        <v>1317</v>
      </c>
      <c r="B517" s="84">
        <v>12757728</v>
      </c>
      <c r="C517" s="46">
        <v>2400</v>
      </c>
      <c r="D517" s="43" t="s">
        <v>1339</v>
      </c>
      <c r="E517" s="53" t="s">
        <v>593</v>
      </c>
      <c r="F517" s="53" t="s">
        <v>646</v>
      </c>
      <c r="G517" s="36" t="s">
        <v>163</v>
      </c>
      <c r="H517" s="36" t="s">
        <v>163</v>
      </c>
      <c r="I517" s="36" t="s">
        <v>163</v>
      </c>
      <c r="J517" s="35" t="s">
        <v>1319</v>
      </c>
      <c r="K517" s="35" t="s">
        <v>1150</v>
      </c>
      <c r="L517" s="35" t="s">
        <v>865</v>
      </c>
      <c r="M517" s="35" t="s">
        <v>269</v>
      </c>
      <c r="N517">
        <v>2</v>
      </c>
      <c r="O517" s="57">
        <v>42492</v>
      </c>
    </row>
    <row r="518" spans="1:15" ht="26.4" x14ac:dyDescent="0.25">
      <c r="A518" s="67" t="s">
        <v>1184</v>
      </c>
      <c r="B518" s="89">
        <v>18644221</v>
      </c>
      <c r="C518" s="46">
        <v>10000</v>
      </c>
      <c r="D518" s="77" t="s">
        <v>1340</v>
      </c>
      <c r="E518" s="54" t="s">
        <v>1341</v>
      </c>
      <c r="F518" s="79" t="s">
        <v>569</v>
      </c>
      <c r="G518" s="36" t="s">
        <v>163</v>
      </c>
      <c r="H518" s="36" t="s">
        <v>163</v>
      </c>
      <c r="I518" s="36" t="s">
        <v>163</v>
      </c>
      <c r="J518" s="77" t="s">
        <v>931</v>
      </c>
      <c r="K518">
        <v>325</v>
      </c>
      <c r="L518" s="77" t="s">
        <v>141</v>
      </c>
      <c r="M518" s="77" t="s">
        <v>269</v>
      </c>
      <c r="N518" s="74">
        <v>7</v>
      </c>
      <c r="O518" s="57">
        <v>42478</v>
      </c>
    </row>
    <row r="519" spans="1:15" ht="26.4" x14ac:dyDescent="0.25">
      <c r="A519" s="67" t="s">
        <v>1184</v>
      </c>
      <c r="B519" s="89">
        <v>18644221</v>
      </c>
      <c r="C519" s="46">
        <v>5000</v>
      </c>
      <c r="D519" s="77" t="s">
        <v>1342</v>
      </c>
      <c r="E519" t="s">
        <v>1343</v>
      </c>
      <c r="F519" s="79" t="s">
        <v>569</v>
      </c>
      <c r="G519" s="36" t="s">
        <v>163</v>
      </c>
      <c r="H519" s="36" t="s">
        <v>163</v>
      </c>
      <c r="I519" s="36" t="s">
        <v>163</v>
      </c>
      <c r="J519" s="77" t="s">
        <v>931</v>
      </c>
      <c r="K519">
        <v>325</v>
      </c>
      <c r="L519" s="77" t="s">
        <v>141</v>
      </c>
      <c r="M519" s="77" t="s">
        <v>269</v>
      </c>
      <c r="N519" s="74">
        <v>7</v>
      </c>
      <c r="O519" s="57">
        <v>42489</v>
      </c>
    </row>
    <row r="520" spans="1:15" ht="26.4" x14ac:dyDescent="0.25">
      <c r="A520" s="67" t="s">
        <v>1344</v>
      </c>
      <c r="B520" s="84">
        <v>25105459</v>
      </c>
      <c r="C520" s="46">
        <v>20480</v>
      </c>
      <c r="D520" s="77" t="s">
        <v>1346</v>
      </c>
      <c r="E520" t="s">
        <v>1345</v>
      </c>
      <c r="F520" s="54" t="s">
        <v>569</v>
      </c>
      <c r="G520" s="36" t="s">
        <v>163</v>
      </c>
      <c r="H520" s="36" t="s">
        <v>163</v>
      </c>
      <c r="I520" s="36" t="s">
        <v>163</v>
      </c>
      <c r="J520" s="77" t="s">
        <v>889</v>
      </c>
      <c r="K520" t="s">
        <v>1150</v>
      </c>
      <c r="L520" s="77" t="s">
        <v>141</v>
      </c>
      <c r="M520" s="77" t="s">
        <v>269</v>
      </c>
      <c r="N520" s="74">
        <v>10</v>
      </c>
      <c r="O520" s="57">
        <v>42495</v>
      </c>
    </row>
    <row r="521" spans="1:15" ht="26.4" x14ac:dyDescent="0.25">
      <c r="A521" s="67" t="s">
        <v>1347</v>
      </c>
      <c r="B521" s="84">
        <v>25625025</v>
      </c>
      <c r="C521" s="46">
        <v>12220</v>
      </c>
      <c r="D521" s="77" t="s">
        <v>1348</v>
      </c>
      <c r="E521" t="s">
        <v>1349</v>
      </c>
      <c r="F521" s="54" t="s">
        <v>569</v>
      </c>
      <c r="G521" s="36" t="s">
        <v>163</v>
      </c>
      <c r="H521" s="36" t="s">
        <v>163</v>
      </c>
      <c r="I521" s="36" t="s">
        <v>163</v>
      </c>
      <c r="J521" s="77" t="s">
        <v>1350</v>
      </c>
      <c r="K521">
        <v>225</v>
      </c>
      <c r="L521" s="77" t="s">
        <v>141</v>
      </c>
      <c r="M521" s="77" t="s">
        <v>269</v>
      </c>
      <c r="N521" s="74">
        <v>60</v>
      </c>
      <c r="O521" s="57">
        <v>42430</v>
      </c>
    </row>
    <row r="522" spans="1:15" ht="26.4" x14ac:dyDescent="0.25">
      <c r="A522" s="41" t="s">
        <v>1383</v>
      </c>
      <c r="B522" s="52">
        <v>18105934</v>
      </c>
      <c r="C522" s="46">
        <v>11600</v>
      </c>
      <c r="D522" s="43" t="s">
        <v>1351</v>
      </c>
      <c r="E522" s="35" t="s">
        <v>1352</v>
      </c>
      <c r="F522" s="36" t="s">
        <v>1353</v>
      </c>
      <c r="G522" s="36" t="s">
        <v>163</v>
      </c>
      <c r="H522" s="36" t="s">
        <v>163</v>
      </c>
      <c r="I522" s="36" t="s">
        <v>163</v>
      </c>
      <c r="J522" s="43" t="s">
        <v>929</v>
      </c>
      <c r="K522" s="35" t="s">
        <v>285</v>
      </c>
      <c r="L522" s="43" t="s">
        <v>378</v>
      </c>
      <c r="M522" s="43" t="s">
        <v>313</v>
      </c>
      <c r="N522">
        <v>8</v>
      </c>
      <c r="O522" s="57">
        <v>42499</v>
      </c>
    </row>
    <row r="523" spans="1:15" ht="26.4" x14ac:dyDescent="0.25">
      <c r="A523" s="67" t="s">
        <v>1354</v>
      </c>
      <c r="B523" s="84">
        <v>6698429</v>
      </c>
      <c r="C523" s="46">
        <v>72000</v>
      </c>
      <c r="D523" s="77" t="s">
        <v>1355</v>
      </c>
      <c r="E523" s="35" t="s">
        <v>1356</v>
      </c>
      <c r="F523" s="54" t="s">
        <v>569</v>
      </c>
      <c r="G523" s="36" t="s">
        <v>163</v>
      </c>
      <c r="H523" s="36" t="s">
        <v>163</v>
      </c>
      <c r="I523" s="36" t="s">
        <v>163</v>
      </c>
      <c r="J523" s="77" t="s">
        <v>1357</v>
      </c>
      <c r="K523" t="s">
        <v>1150</v>
      </c>
      <c r="L523" s="77" t="s">
        <v>1358</v>
      </c>
      <c r="M523" s="77" t="s">
        <v>269</v>
      </c>
      <c r="N523" s="74">
        <v>20</v>
      </c>
      <c r="O523" s="57">
        <v>42494</v>
      </c>
    </row>
    <row r="524" spans="1:15" ht="26.4" x14ac:dyDescent="0.25">
      <c r="A524" s="41" t="s">
        <v>565</v>
      </c>
      <c r="B524" s="42">
        <v>12397514</v>
      </c>
      <c r="C524" s="46">
        <v>400</v>
      </c>
      <c r="D524" s="43" t="s">
        <v>1359</v>
      </c>
      <c r="E524" s="44" t="s">
        <v>593</v>
      </c>
      <c r="F524" s="51" t="s">
        <v>569</v>
      </c>
      <c r="G524" s="36" t="s">
        <v>163</v>
      </c>
      <c r="H524" s="36" t="s">
        <v>163</v>
      </c>
      <c r="I524" s="36" t="s">
        <v>163</v>
      </c>
      <c r="J524" s="35" t="s">
        <v>566</v>
      </c>
      <c r="K524">
        <v>92</v>
      </c>
      <c r="L524" t="s">
        <v>141</v>
      </c>
      <c r="M524" s="35" t="s">
        <v>414</v>
      </c>
      <c r="N524">
        <v>5</v>
      </c>
      <c r="O524" s="57">
        <v>42499</v>
      </c>
    </row>
    <row r="525" spans="1:15" ht="26.4" x14ac:dyDescent="0.25">
      <c r="A525" s="41" t="s">
        <v>565</v>
      </c>
      <c r="B525" s="42">
        <v>12397514</v>
      </c>
      <c r="C525" s="46">
        <v>650</v>
      </c>
      <c r="D525" s="43" t="s">
        <v>1360</v>
      </c>
      <c r="E525" s="44" t="s">
        <v>593</v>
      </c>
      <c r="F525" s="51" t="s">
        <v>569</v>
      </c>
      <c r="G525" s="36" t="s">
        <v>163</v>
      </c>
      <c r="H525" s="36" t="s">
        <v>163</v>
      </c>
      <c r="I525" s="36" t="s">
        <v>163</v>
      </c>
      <c r="J525" s="35" t="s">
        <v>566</v>
      </c>
      <c r="K525">
        <v>92</v>
      </c>
      <c r="L525" t="s">
        <v>141</v>
      </c>
      <c r="M525" s="35" t="s">
        <v>414</v>
      </c>
      <c r="N525">
        <v>5</v>
      </c>
      <c r="O525" s="57">
        <v>42492</v>
      </c>
    </row>
    <row r="526" spans="1:15" ht="26.4" x14ac:dyDescent="0.25">
      <c r="A526" s="67" t="s">
        <v>908</v>
      </c>
      <c r="B526" s="84">
        <v>23398053</v>
      </c>
      <c r="C526" s="46">
        <v>3500</v>
      </c>
      <c r="D526" s="43" t="s">
        <v>1361</v>
      </c>
      <c r="E526" s="35" t="s">
        <v>1362</v>
      </c>
      <c r="F526" s="53" t="s">
        <v>569</v>
      </c>
      <c r="G526" s="36" t="s">
        <v>163</v>
      </c>
      <c r="H526" s="36" t="s">
        <v>163</v>
      </c>
      <c r="I526" s="36" t="s">
        <v>163</v>
      </c>
      <c r="J526" s="35" t="s">
        <v>896</v>
      </c>
      <c r="K526">
        <v>195</v>
      </c>
      <c r="L526" s="35" t="s">
        <v>141</v>
      </c>
      <c r="M526" s="35" t="s">
        <v>269</v>
      </c>
      <c r="N526">
        <v>5</v>
      </c>
      <c r="O526" s="57">
        <v>42499</v>
      </c>
    </row>
    <row r="527" spans="1:15" ht="26.4" x14ac:dyDescent="0.25">
      <c r="A527" s="67" t="s">
        <v>1200</v>
      </c>
      <c r="B527" s="89">
        <v>25825032</v>
      </c>
      <c r="C527" s="46">
        <v>3000</v>
      </c>
      <c r="D527" s="77" t="s">
        <v>1207</v>
      </c>
      <c r="E527" t="s">
        <v>1201</v>
      </c>
      <c r="F527" s="79" t="s">
        <v>569</v>
      </c>
      <c r="G527" s="36" t="s">
        <v>163</v>
      </c>
      <c r="H527" s="36" t="s">
        <v>163</v>
      </c>
      <c r="I527" s="36" t="s">
        <v>163</v>
      </c>
      <c r="J527" s="77" t="s">
        <v>1202</v>
      </c>
      <c r="K527" t="s">
        <v>1150</v>
      </c>
      <c r="L527" s="77" t="s">
        <v>585</v>
      </c>
      <c r="M527" s="77" t="s">
        <v>269</v>
      </c>
      <c r="N527" s="74">
        <v>5</v>
      </c>
      <c r="O527" s="57">
        <v>42499</v>
      </c>
    </row>
    <row r="528" spans="1:15" ht="26.4" x14ac:dyDescent="0.25">
      <c r="A528" s="67" t="s">
        <v>1119</v>
      </c>
      <c r="B528" s="88">
        <v>38338463</v>
      </c>
      <c r="C528" s="46">
        <v>32760</v>
      </c>
      <c r="D528" s="77" t="s">
        <v>1363</v>
      </c>
      <c r="E528" s="74" t="s">
        <v>1364</v>
      </c>
      <c r="F528" s="73" t="s">
        <v>990</v>
      </c>
      <c r="G528" s="36" t="s">
        <v>163</v>
      </c>
      <c r="H528" s="36" t="s">
        <v>163</v>
      </c>
      <c r="I528" s="36" t="s">
        <v>163</v>
      </c>
      <c r="J528" s="77" t="s">
        <v>1120</v>
      </c>
      <c r="K528" s="74" t="s">
        <v>143</v>
      </c>
      <c r="L528" s="77" t="s">
        <v>141</v>
      </c>
      <c r="M528" s="77" t="s">
        <v>313</v>
      </c>
      <c r="N528" s="74">
        <v>20</v>
      </c>
      <c r="O528" s="57">
        <v>42499</v>
      </c>
    </row>
    <row r="529" spans="1:15" ht="26.4" x14ac:dyDescent="0.25">
      <c r="A529" s="67" t="s">
        <v>1365</v>
      </c>
      <c r="B529" s="84">
        <v>30941397</v>
      </c>
      <c r="C529" s="46">
        <v>6000</v>
      </c>
      <c r="D529" s="43" t="s">
        <v>1366</v>
      </c>
      <c r="E529" s="54" t="s">
        <v>593</v>
      </c>
      <c r="F529" s="54" t="s">
        <v>569</v>
      </c>
      <c r="G529" s="36" t="s">
        <v>163</v>
      </c>
      <c r="H529" s="36" t="s">
        <v>163</v>
      </c>
      <c r="I529" s="36" t="s">
        <v>163</v>
      </c>
      <c r="J529" s="35" t="s">
        <v>1367</v>
      </c>
      <c r="K529">
        <v>345</v>
      </c>
      <c r="L529" s="35" t="s">
        <v>974</v>
      </c>
      <c r="M529" s="35" t="s">
        <v>269</v>
      </c>
      <c r="N529">
        <v>10</v>
      </c>
      <c r="O529" s="57">
        <v>42492</v>
      </c>
    </row>
    <row r="530" spans="1:15" ht="26.4" x14ac:dyDescent="0.25">
      <c r="A530" s="41" t="s">
        <v>967</v>
      </c>
      <c r="B530" s="84">
        <v>31990359</v>
      </c>
      <c r="C530" s="46">
        <v>800</v>
      </c>
      <c r="D530" s="43" t="s">
        <v>1368</v>
      </c>
      <c r="E530" t="s">
        <v>1369</v>
      </c>
      <c r="F530" s="54" t="s">
        <v>569</v>
      </c>
      <c r="G530" s="36" t="s">
        <v>163</v>
      </c>
      <c r="H530" s="36" t="s">
        <v>163</v>
      </c>
      <c r="I530" s="36" t="s">
        <v>163</v>
      </c>
      <c r="J530" s="35" t="s">
        <v>1236</v>
      </c>
      <c r="K530" t="s">
        <v>1150</v>
      </c>
      <c r="L530" s="35" t="s">
        <v>782</v>
      </c>
      <c r="M530" s="35" t="s">
        <v>269</v>
      </c>
      <c r="N530">
        <v>4</v>
      </c>
      <c r="O530" s="57">
        <v>42506</v>
      </c>
    </row>
    <row r="531" spans="1:15" ht="26.4" x14ac:dyDescent="0.25">
      <c r="A531" s="67" t="s">
        <v>1184</v>
      </c>
      <c r="B531" s="89">
        <v>18644221</v>
      </c>
      <c r="C531" s="46">
        <v>8000</v>
      </c>
      <c r="D531" s="77" t="s">
        <v>1370</v>
      </c>
      <c r="E531" s="54"/>
      <c r="F531" s="79" t="s">
        <v>569</v>
      </c>
      <c r="G531" s="36" t="s">
        <v>163</v>
      </c>
      <c r="H531" s="36" t="s">
        <v>163</v>
      </c>
      <c r="I531" s="36" t="s">
        <v>163</v>
      </c>
      <c r="J531" s="77" t="s">
        <v>931</v>
      </c>
      <c r="K531">
        <v>325</v>
      </c>
      <c r="L531" s="77" t="s">
        <v>141</v>
      </c>
      <c r="M531" s="77" t="s">
        <v>269</v>
      </c>
      <c r="N531" s="74">
        <v>7</v>
      </c>
      <c r="O531" s="57">
        <v>42501</v>
      </c>
    </row>
    <row r="532" spans="1:15" ht="26.4" x14ac:dyDescent="0.25">
      <c r="A532" s="67" t="s">
        <v>1301</v>
      </c>
      <c r="B532" s="84">
        <v>20082493</v>
      </c>
      <c r="C532" s="46">
        <v>7000</v>
      </c>
      <c r="D532" s="43" t="s">
        <v>1371</v>
      </c>
      <c r="E532" s="54" t="s">
        <v>593</v>
      </c>
      <c r="F532" s="54" t="s">
        <v>569</v>
      </c>
      <c r="G532" s="36" t="s">
        <v>163</v>
      </c>
      <c r="H532" s="36" t="s">
        <v>163</v>
      </c>
      <c r="I532" s="36" t="s">
        <v>163</v>
      </c>
      <c r="J532" s="35" t="s">
        <v>889</v>
      </c>
      <c r="K532" s="35" t="s">
        <v>1150</v>
      </c>
      <c r="L532" t="s">
        <v>141</v>
      </c>
      <c r="M532" s="35" t="s">
        <v>269</v>
      </c>
      <c r="N532">
        <v>7</v>
      </c>
      <c r="O532" s="57">
        <v>42499</v>
      </c>
    </row>
    <row r="533" spans="1:15" ht="26.4" x14ac:dyDescent="0.25">
      <c r="A533" s="67" t="s">
        <v>1224</v>
      </c>
      <c r="B533" s="84">
        <v>36146287</v>
      </c>
      <c r="C533" s="46">
        <v>1200</v>
      </c>
      <c r="D533" s="77" t="s">
        <v>1372</v>
      </c>
      <c r="E533" s="54" t="s">
        <v>593</v>
      </c>
      <c r="F533" s="83" t="s">
        <v>569</v>
      </c>
      <c r="G533" s="36" t="s">
        <v>163</v>
      </c>
      <c r="H533" s="36" t="s">
        <v>163</v>
      </c>
      <c r="I533" s="36" t="s">
        <v>163</v>
      </c>
      <c r="J533" s="77" t="s">
        <v>1221</v>
      </c>
      <c r="K533">
        <v>665</v>
      </c>
      <c r="L533" s="77" t="s">
        <v>141</v>
      </c>
      <c r="M533" s="77" t="s">
        <v>269</v>
      </c>
      <c r="N533" s="74">
        <v>1</v>
      </c>
      <c r="O533" s="57">
        <v>42510</v>
      </c>
    </row>
    <row r="534" spans="1:15" ht="26.4" x14ac:dyDescent="0.25">
      <c r="A534" s="41" t="s">
        <v>908</v>
      </c>
      <c r="B534" s="52">
        <v>23398053</v>
      </c>
      <c r="C534" s="46">
        <v>2000</v>
      </c>
      <c r="D534" s="43" t="s">
        <v>1373</v>
      </c>
      <c r="E534" s="35" t="s">
        <v>1374</v>
      </c>
      <c r="F534" s="44" t="s">
        <v>569</v>
      </c>
      <c r="G534" s="36" t="s">
        <v>163</v>
      </c>
      <c r="H534" s="36" t="s">
        <v>163</v>
      </c>
      <c r="I534" s="36" t="s">
        <v>163</v>
      </c>
      <c r="J534" s="43" t="s">
        <v>896</v>
      </c>
      <c r="K534">
        <v>195</v>
      </c>
      <c r="L534" s="43" t="s">
        <v>141</v>
      </c>
      <c r="M534" s="43" t="s">
        <v>313</v>
      </c>
      <c r="N534">
        <v>3</v>
      </c>
      <c r="O534" s="57">
        <v>42513</v>
      </c>
    </row>
    <row r="535" spans="1:15" ht="26.4" x14ac:dyDescent="0.25">
      <c r="A535" s="41" t="s">
        <v>908</v>
      </c>
      <c r="B535" s="52">
        <v>23398053</v>
      </c>
      <c r="C535" s="46">
        <v>1500</v>
      </c>
      <c r="D535" s="43" t="s">
        <v>1375</v>
      </c>
      <c r="E535" s="53" t="s">
        <v>593</v>
      </c>
      <c r="F535" s="44" t="s">
        <v>569</v>
      </c>
      <c r="G535" s="36" t="s">
        <v>163</v>
      </c>
      <c r="H535" s="36" t="s">
        <v>163</v>
      </c>
      <c r="I535" s="36" t="s">
        <v>163</v>
      </c>
      <c r="J535" s="43" t="s">
        <v>896</v>
      </c>
      <c r="K535">
        <v>195</v>
      </c>
      <c r="L535" s="43" t="s">
        <v>141</v>
      </c>
      <c r="M535" s="43" t="s">
        <v>313</v>
      </c>
      <c r="N535">
        <v>2</v>
      </c>
      <c r="O535" s="57">
        <v>42516</v>
      </c>
    </row>
    <row r="536" spans="1:15" ht="26.4" x14ac:dyDescent="0.25">
      <c r="A536" s="41" t="s">
        <v>1383</v>
      </c>
      <c r="B536" s="52">
        <v>18105934</v>
      </c>
      <c r="C536" s="46">
        <v>25560</v>
      </c>
      <c r="D536" s="43" t="s">
        <v>1376</v>
      </c>
      <c r="E536" s="35" t="s">
        <v>1377</v>
      </c>
      <c r="F536" s="44" t="s">
        <v>569</v>
      </c>
      <c r="G536" s="36" t="s">
        <v>163</v>
      </c>
      <c r="H536" s="36" t="s">
        <v>163</v>
      </c>
      <c r="I536" s="36" t="s">
        <v>163</v>
      </c>
      <c r="J536" s="43" t="s">
        <v>929</v>
      </c>
      <c r="K536" s="35" t="s">
        <v>285</v>
      </c>
      <c r="L536" s="43" t="s">
        <v>378</v>
      </c>
      <c r="M536" s="43" t="s">
        <v>313</v>
      </c>
      <c r="N536">
        <v>20</v>
      </c>
      <c r="O536" s="57">
        <v>42513</v>
      </c>
    </row>
    <row r="537" spans="1:15" ht="26.4" x14ac:dyDescent="0.25">
      <c r="A537" s="67" t="s">
        <v>1378</v>
      </c>
      <c r="B537" s="84">
        <v>30894041</v>
      </c>
      <c r="C537" s="46">
        <v>1500</v>
      </c>
      <c r="D537" s="43" t="s">
        <v>1379</v>
      </c>
      <c r="E537" s="53" t="s">
        <v>593</v>
      </c>
      <c r="F537" s="44" t="s">
        <v>569</v>
      </c>
      <c r="G537" s="36" t="s">
        <v>163</v>
      </c>
      <c r="H537" s="36" t="s">
        <v>163</v>
      </c>
      <c r="I537" s="36" t="s">
        <v>163</v>
      </c>
      <c r="J537" s="43" t="s">
        <v>1380</v>
      </c>
      <c r="K537" t="s">
        <v>1150</v>
      </c>
      <c r="L537" s="43" t="s">
        <v>865</v>
      </c>
      <c r="M537" s="43" t="s">
        <v>269</v>
      </c>
      <c r="N537">
        <v>2</v>
      </c>
      <c r="O537" s="57">
        <v>42513</v>
      </c>
    </row>
    <row r="538" spans="1:15" ht="26.4" x14ac:dyDescent="0.25">
      <c r="A538" s="41" t="s">
        <v>502</v>
      </c>
      <c r="B538" s="42">
        <v>11199679</v>
      </c>
      <c r="C538" s="46">
        <v>2000</v>
      </c>
      <c r="D538" s="36" t="s">
        <v>1381</v>
      </c>
      <c r="E538" s="44" t="s">
        <v>593</v>
      </c>
      <c r="F538" s="36" t="s">
        <v>615</v>
      </c>
      <c r="G538" s="36" t="s">
        <v>163</v>
      </c>
      <c r="H538" s="36" t="s">
        <v>163</v>
      </c>
      <c r="I538" s="36" t="s">
        <v>163</v>
      </c>
      <c r="J538" s="43" t="s">
        <v>748</v>
      </c>
      <c r="K538" s="43">
        <v>125</v>
      </c>
      <c r="L538" s="43" t="s">
        <v>141</v>
      </c>
      <c r="M538" s="43" t="s">
        <v>313</v>
      </c>
      <c r="N538">
        <v>30</v>
      </c>
      <c r="O538" s="57">
        <v>42492</v>
      </c>
    </row>
    <row r="539" spans="1:15" ht="26.4" x14ac:dyDescent="0.25">
      <c r="A539" s="41" t="s">
        <v>982</v>
      </c>
      <c r="B539" s="84">
        <v>22008433</v>
      </c>
      <c r="C539" s="46">
        <v>2800</v>
      </c>
      <c r="D539" s="43" t="s">
        <v>1382</v>
      </c>
      <c r="E539" s="53" t="s">
        <v>593</v>
      </c>
      <c r="F539" s="68" t="s">
        <v>990</v>
      </c>
      <c r="G539" s="36" t="s">
        <v>163</v>
      </c>
      <c r="H539" s="36" t="s">
        <v>163</v>
      </c>
      <c r="I539" s="36" t="s">
        <v>163</v>
      </c>
      <c r="J539" s="43" t="s">
        <v>983</v>
      </c>
      <c r="L539" s="43" t="s">
        <v>141</v>
      </c>
      <c r="M539" s="43" t="s">
        <v>313</v>
      </c>
      <c r="N539">
        <v>30</v>
      </c>
      <c r="O539" s="57">
        <v>42492</v>
      </c>
    </row>
    <row r="540" spans="1:15" ht="26.4" x14ac:dyDescent="0.25">
      <c r="A540" s="67" t="s">
        <v>1384</v>
      </c>
      <c r="B540" s="84">
        <v>31990359</v>
      </c>
      <c r="C540" s="46">
        <v>2598</v>
      </c>
      <c r="D540" s="43" t="s">
        <v>1385</v>
      </c>
      <c r="E540" t="s">
        <v>1386</v>
      </c>
      <c r="F540" s="54" t="s">
        <v>569</v>
      </c>
      <c r="G540" s="36" t="s">
        <v>163</v>
      </c>
      <c r="H540" s="36" t="s">
        <v>163</v>
      </c>
      <c r="I540" s="36" t="s">
        <v>163</v>
      </c>
      <c r="J540" s="43" t="s">
        <v>1236</v>
      </c>
      <c r="K540" t="s">
        <v>143</v>
      </c>
      <c r="L540" s="43" t="s">
        <v>1387</v>
      </c>
      <c r="M540" s="43" t="s">
        <v>313</v>
      </c>
      <c r="N540">
        <v>14</v>
      </c>
      <c r="O540" s="57">
        <v>42499</v>
      </c>
    </row>
    <row r="541" spans="1:15" ht="26.4" x14ac:dyDescent="0.25">
      <c r="A541" s="41" t="s">
        <v>908</v>
      </c>
      <c r="B541" s="52">
        <v>23398053</v>
      </c>
      <c r="C541" s="46">
        <v>2500</v>
      </c>
      <c r="D541" s="43" t="s">
        <v>1388</v>
      </c>
      <c r="E541" s="35" t="s">
        <v>924</v>
      </c>
      <c r="F541" s="44" t="s">
        <v>569</v>
      </c>
      <c r="G541" s="36" t="s">
        <v>163</v>
      </c>
      <c r="H541" s="36" t="s">
        <v>163</v>
      </c>
      <c r="I541" s="36" t="s">
        <v>163</v>
      </c>
      <c r="J541" s="43" t="s">
        <v>896</v>
      </c>
      <c r="K541">
        <v>195</v>
      </c>
      <c r="L541" s="43" t="s">
        <v>141</v>
      </c>
      <c r="M541" s="43" t="s">
        <v>313</v>
      </c>
      <c r="N541">
        <v>3</v>
      </c>
      <c r="O541" s="57">
        <v>42522</v>
      </c>
    </row>
    <row r="542" spans="1:15" ht="26.4" x14ac:dyDescent="0.25">
      <c r="A542" s="67" t="s">
        <v>1389</v>
      </c>
      <c r="B542" s="84">
        <v>17764652</v>
      </c>
      <c r="C542" s="46">
        <v>3600</v>
      </c>
      <c r="D542" s="43" t="s">
        <v>1390</v>
      </c>
      <c r="E542" t="s">
        <v>1391</v>
      </c>
      <c r="F542" s="54" t="s">
        <v>569</v>
      </c>
      <c r="G542" s="36" t="s">
        <v>163</v>
      </c>
      <c r="H542" s="36" t="s">
        <v>163</v>
      </c>
      <c r="I542" s="36" t="s">
        <v>163</v>
      </c>
      <c r="J542" s="43" t="s">
        <v>1035</v>
      </c>
      <c r="K542">
        <v>219</v>
      </c>
      <c r="L542" s="43" t="s">
        <v>141</v>
      </c>
      <c r="M542" s="43" t="s">
        <v>313</v>
      </c>
      <c r="N542">
        <v>8</v>
      </c>
      <c r="O542" s="57">
        <v>42513</v>
      </c>
    </row>
    <row r="543" spans="1:15" ht="26.4" x14ac:dyDescent="0.25">
      <c r="A543" s="67" t="s">
        <v>1395</v>
      </c>
      <c r="B543" s="84">
        <v>36917639</v>
      </c>
      <c r="C543" s="46">
        <v>7000</v>
      </c>
      <c r="D543" s="43" t="s">
        <v>1392</v>
      </c>
      <c r="E543" t="s">
        <v>1393</v>
      </c>
      <c r="F543" t="s">
        <v>1394</v>
      </c>
      <c r="G543" s="36" t="s">
        <v>163</v>
      </c>
      <c r="H543" s="36" t="s">
        <v>163</v>
      </c>
      <c r="I543" s="36" t="s">
        <v>163</v>
      </c>
      <c r="J543" s="43" t="s">
        <v>1380</v>
      </c>
      <c r="K543" t="s">
        <v>143</v>
      </c>
      <c r="L543" s="43" t="s">
        <v>723</v>
      </c>
      <c r="M543" s="43" t="s">
        <v>313</v>
      </c>
      <c r="N543">
        <v>8</v>
      </c>
      <c r="O543" s="57">
        <v>42522</v>
      </c>
    </row>
    <row r="544" spans="1:15" ht="26.4" x14ac:dyDescent="0.25">
      <c r="A544" s="67" t="s">
        <v>1389</v>
      </c>
      <c r="B544" s="84">
        <v>17764652</v>
      </c>
      <c r="C544" s="46">
        <v>2000</v>
      </c>
      <c r="D544" s="43" t="s">
        <v>1396</v>
      </c>
      <c r="E544" t="s">
        <v>1397</v>
      </c>
      <c r="F544" t="s">
        <v>1398</v>
      </c>
      <c r="G544" s="36" t="s">
        <v>163</v>
      </c>
      <c r="H544" s="36" t="s">
        <v>163</v>
      </c>
      <c r="I544" s="36" t="s">
        <v>163</v>
      </c>
      <c r="J544" s="43" t="s">
        <v>1035</v>
      </c>
      <c r="K544">
        <v>219</v>
      </c>
      <c r="L544" s="43" t="s">
        <v>141</v>
      </c>
      <c r="M544" s="43" t="s">
        <v>313</v>
      </c>
      <c r="N544">
        <v>5</v>
      </c>
      <c r="O544" s="57">
        <v>42522</v>
      </c>
    </row>
    <row r="545" spans="1:15" ht="26.4" x14ac:dyDescent="0.25">
      <c r="A545" s="67" t="s">
        <v>1399</v>
      </c>
      <c r="B545" s="84">
        <v>22104065</v>
      </c>
      <c r="C545" s="46">
        <v>1115</v>
      </c>
      <c r="D545" s="43" t="s">
        <v>1401</v>
      </c>
      <c r="E545" s="54" t="s">
        <v>357</v>
      </c>
      <c r="F545" s="44" t="s">
        <v>569</v>
      </c>
      <c r="G545" s="36" t="s">
        <v>163</v>
      </c>
      <c r="H545" s="36" t="s">
        <v>163</v>
      </c>
      <c r="I545" s="36" t="s">
        <v>163</v>
      </c>
      <c r="J545" s="43" t="s">
        <v>1400</v>
      </c>
      <c r="K545">
        <v>287</v>
      </c>
      <c r="L545" s="43" t="s">
        <v>141</v>
      </c>
      <c r="M545" s="43" t="s">
        <v>269</v>
      </c>
      <c r="N545">
        <v>4</v>
      </c>
      <c r="O545" s="57">
        <v>42530</v>
      </c>
    </row>
    <row r="546" spans="1:15" ht="26.4" x14ac:dyDescent="0.25">
      <c r="A546" s="67" t="s">
        <v>1384</v>
      </c>
      <c r="B546" s="84">
        <v>31990359</v>
      </c>
      <c r="C546" s="46">
        <v>1420</v>
      </c>
      <c r="D546" s="43" t="s">
        <v>1402</v>
      </c>
      <c r="E546" t="s">
        <v>1403</v>
      </c>
      <c r="F546" s="54" t="s">
        <v>569</v>
      </c>
      <c r="G546" s="36" t="s">
        <v>163</v>
      </c>
      <c r="H546" s="36" t="s">
        <v>163</v>
      </c>
      <c r="I546" s="36" t="s">
        <v>163</v>
      </c>
      <c r="J546" s="43" t="s">
        <v>1236</v>
      </c>
      <c r="K546" t="s">
        <v>143</v>
      </c>
      <c r="L546" s="43" t="s">
        <v>1387</v>
      </c>
      <c r="M546" s="43" t="s">
        <v>313</v>
      </c>
      <c r="N546">
        <v>7</v>
      </c>
      <c r="O546" s="57">
        <v>42527</v>
      </c>
    </row>
    <row r="547" spans="1:15" ht="26.4" x14ac:dyDescent="0.25">
      <c r="A547" s="41" t="s">
        <v>863</v>
      </c>
      <c r="B547" s="42">
        <v>22214698</v>
      </c>
      <c r="C547" s="46">
        <v>12540</v>
      </c>
      <c r="D547" s="43" t="s">
        <v>1404</v>
      </c>
      <c r="E547" s="35" t="s">
        <v>1332</v>
      </c>
      <c r="F547" s="44" t="s">
        <v>569</v>
      </c>
      <c r="G547" s="36" t="s">
        <v>163</v>
      </c>
      <c r="H547" s="36" t="s">
        <v>163</v>
      </c>
      <c r="I547" s="36" t="s">
        <v>163</v>
      </c>
      <c r="J547" s="43" t="s">
        <v>864</v>
      </c>
      <c r="K547" s="35" t="s">
        <v>285</v>
      </c>
      <c r="L547" s="43" t="s">
        <v>865</v>
      </c>
      <c r="M547" s="43" t="s">
        <v>313</v>
      </c>
      <c r="N547">
        <v>5</v>
      </c>
      <c r="O547" s="57">
        <v>42522</v>
      </c>
    </row>
    <row r="548" spans="1:15" ht="13.95" customHeight="1" x14ac:dyDescent="0.25">
      <c r="A548" s="41" t="s">
        <v>1405</v>
      </c>
      <c r="B548" s="42">
        <v>18566398</v>
      </c>
      <c r="C548" s="46">
        <v>54600</v>
      </c>
      <c r="D548" s="36" t="s">
        <v>1407</v>
      </c>
      <c r="E548" s="44" t="s">
        <v>593</v>
      </c>
      <c r="F548" s="44" t="s">
        <v>569</v>
      </c>
      <c r="G548" s="36" t="s">
        <v>163</v>
      </c>
      <c r="H548" s="36" t="s">
        <v>163</v>
      </c>
      <c r="I548" s="36" t="s">
        <v>163</v>
      </c>
      <c r="J548" s="43" t="s">
        <v>627</v>
      </c>
      <c r="K548">
        <v>196</v>
      </c>
      <c r="L548" s="43" t="s">
        <v>141</v>
      </c>
      <c r="M548" s="43" t="s">
        <v>313</v>
      </c>
      <c r="N548">
        <v>20</v>
      </c>
      <c r="O548" s="57">
        <v>42534</v>
      </c>
    </row>
    <row r="549" spans="1:15" ht="26.4" x14ac:dyDescent="0.25">
      <c r="A549" s="67" t="s">
        <v>1408</v>
      </c>
      <c r="B549" s="84">
        <v>27805444</v>
      </c>
      <c r="C549" s="46">
        <v>4290</v>
      </c>
      <c r="D549" s="36" t="s">
        <v>1409</v>
      </c>
      <c r="E549" s="53" t="s">
        <v>593</v>
      </c>
      <c r="F549" s="44" t="s">
        <v>569</v>
      </c>
      <c r="G549" s="36" t="s">
        <v>163</v>
      </c>
      <c r="H549" s="36" t="s">
        <v>163</v>
      </c>
      <c r="I549" s="36" t="s">
        <v>163</v>
      </c>
      <c r="J549" s="43" t="s">
        <v>1410</v>
      </c>
      <c r="K549" t="s">
        <v>1150</v>
      </c>
      <c r="L549" s="43" t="s">
        <v>141</v>
      </c>
      <c r="M549" s="43" t="s">
        <v>269</v>
      </c>
      <c r="N549">
        <v>5</v>
      </c>
      <c r="O549" s="57">
        <v>42543</v>
      </c>
    </row>
    <row r="550" spans="1:15" ht="26.4" x14ac:dyDescent="0.25">
      <c r="A550" s="67" t="s">
        <v>1224</v>
      </c>
      <c r="B550" s="84">
        <v>36146287</v>
      </c>
      <c r="C550" s="46">
        <v>7700</v>
      </c>
      <c r="D550" s="77" t="s">
        <v>1411</v>
      </c>
      <c r="E550" s="35" t="s">
        <v>1412</v>
      </c>
      <c r="F550" s="44" t="s">
        <v>536</v>
      </c>
      <c r="G550" s="36" t="s">
        <v>163</v>
      </c>
      <c r="H550" s="36" t="s">
        <v>163</v>
      </c>
      <c r="I550" s="36" t="s">
        <v>163</v>
      </c>
      <c r="J550" s="77" t="s">
        <v>1221</v>
      </c>
      <c r="K550">
        <v>665</v>
      </c>
      <c r="L550" s="77" t="s">
        <v>141</v>
      </c>
      <c r="M550" s="77" t="s">
        <v>269</v>
      </c>
      <c r="N550" s="74">
        <v>5</v>
      </c>
      <c r="O550" s="57">
        <v>42522</v>
      </c>
    </row>
    <row r="551" spans="1:15" ht="13.2" customHeight="1" x14ac:dyDescent="0.25">
      <c r="A551" s="41" t="s">
        <v>816</v>
      </c>
      <c r="B551" s="42">
        <v>6698968</v>
      </c>
      <c r="C551" s="46">
        <v>1000</v>
      </c>
      <c r="D551" s="36" t="s">
        <v>1416</v>
      </c>
      <c r="E551" s="36" t="s">
        <v>1417</v>
      </c>
      <c r="F551" s="44" t="s">
        <v>569</v>
      </c>
      <c r="G551" s="36" t="s">
        <v>163</v>
      </c>
      <c r="H551" s="36" t="s">
        <v>163</v>
      </c>
      <c r="I551" s="36" t="s">
        <v>163</v>
      </c>
      <c r="J551" s="43" t="s">
        <v>818</v>
      </c>
      <c r="K551" s="43" t="s">
        <v>285</v>
      </c>
      <c r="L551" s="43" t="s">
        <v>802</v>
      </c>
      <c r="M551" s="43" t="s">
        <v>313</v>
      </c>
      <c r="N551">
        <v>5</v>
      </c>
      <c r="O551" s="57">
        <v>42527</v>
      </c>
    </row>
    <row r="552" spans="1:15" ht="13.2" customHeight="1" x14ac:dyDescent="0.25">
      <c r="A552" s="41" t="s">
        <v>1413</v>
      </c>
      <c r="B552" s="42">
        <v>6698968</v>
      </c>
      <c r="C552" s="46">
        <v>500</v>
      </c>
      <c r="D552" s="36" t="s">
        <v>1414</v>
      </c>
      <c r="E552" s="36" t="s">
        <v>1415</v>
      </c>
      <c r="F552" s="44" t="s">
        <v>569</v>
      </c>
      <c r="G552" s="36" t="s">
        <v>163</v>
      </c>
      <c r="H552" s="36" t="s">
        <v>163</v>
      </c>
      <c r="I552" s="36" t="s">
        <v>163</v>
      </c>
      <c r="J552" s="43" t="s">
        <v>818</v>
      </c>
      <c r="K552" s="43" t="s">
        <v>1150</v>
      </c>
      <c r="L552" s="43" t="s">
        <v>141</v>
      </c>
      <c r="M552" s="43" t="s">
        <v>269</v>
      </c>
      <c r="N552">
        <v>5</v>
      </c>
      <c r="O552" s="57">
        <v>42522</v>
      </c>
    </row>
    <row r="553" spans="1:15" ht="26.4" x14ac:dyDescent="0.25">
      <c r="A553" s="67" t="s">
        <v>1418</v>
      </c>
      <c r="B553" s="84">
        <v>20287104</v>
      </c>
      <c r="C553" s="46">
        <v>2200</v>
      </c>
      <c r="D553" s="36" t="s">
        <v>1420</v>
      </c>
      <c r="E553" s="54" t="s">
        <v>593</v>
      </c>
      <c r="F553" s="44" t="s">
        <v>569</v>
      </c>
      <c r="G553" s="36" t="s">
        <v>163</v>
      </c>
      <c r="H553" s="36" t="s">
        <v>163</v>
      </c>
      <c r="I553" s="36" t="s">
        <v>163</v>
      </c>
      <c r="J553" s="43" t="s">
        <v>1419</v>
      </c>
      <c r="K553">
        <v>439</v>
      </c>
      <c r="L553" s="43" t="s">
        <v>974</v>
      </c>
      <c r="M553" s="43" t="s">
        <v>269</v>
      </c>
      <c r="N553">
        <v>6</v>
      </c>
      <c r="O553" s="57">
        <v>42527</v>
      </c>
    </row>
    <row r="554" spans="1:15" ht="26.4" x14ac:dyDescent="0.25">
      <c r="A554" s="67" t="s">
        <v>1354</v>
      </c>
      <c r="B554" s="84">
        <v>6698429</v>
      </c>
      <c r="C554" s="46">
        <v>64120</v>
      </c>
      <c r="D554" s="77" t="s">
        <v>1421</v>
      </c>
      <c r="E554" s="35" t="s">
        <v>924</v>
      </c>
      <c r="F554" s="54" t="s">
        <v>569</v>
      </c>
      <c r="G554" s="36" t="s">
        <v>163</v>
      </c>
      <c r="H554" s="36" t="s">
        <v>163</v>
      </c>
      <c r="I554" s="36" t="s">
        <v>163</v>
      </c>
      <c r="J554" s="77" t="s">
        <v>1357</v>
      </c>
      <c r="K554" t="s">
        <v>1150</v>
      </c>
      <c r="L554" s="77" t="s">
        <v>1358</v>
      </c>
      <c r="M554" s="77" t="s">
        <v>269</v>
      </c>
      <c r="N554" s="74">
        <v>20</v>
      </c>
      <c r="O554" s="57">
        <v>42542</v>
      </c>
    </row>
    <row r="555" spans="1:15" ht="26.4" x14ac:dyDescent="0.25">
      <c r="A555" s="41" t="s">
        <v>908</v>
      </c>
      <c r="B555" s="52">
        <v>23398053</v>
      </c>
      <c r="C555" s="46">
        <v>2000</v>
      </c>
      <c r="D555" s="43" t="s">
        <v>1422</v>
      </c>
      <c r="E555" t="s">
        <v>1391</v>
      </c>
      <c r="F555" s="44" t="s">
        <v>569</v>
      </c>
      <c r="G555" s="36" t="s">
        <v>163</v>
      </c>
      <c r="H555" s="36" t="s">
        <v>163</v>
      </c>
      <c r="I555" s="36" t="s">
        <v>163</v>
      </c>
      <c r="J555" s="43" t="s">
        <v>896</v>
      </c>
      <c r="K555">
        <v>195</v>
      </c>
      <c r="L555" s="43" t="s">
        <v>141</v>
      </c>
      <c r="M555" s="43" t="s">
        <v>313</v>
      </c>
      <c r="N555">
        <v>3</v>
      </c>
      <c r="O555" s="57">
        <v>42542</v>
      </c>
    </row>
    <row r="556" spans="1:15" ht="26.4" x14ac:dyDescent="0.25">
      <c r="A556" s="67" t="s">
        <v>1408</v>
      </c>
      <c r="B556" s="84">
        <v>27805444</v>
      </c>
      <c r="C556" s="46">
        <v>1190</v>
      </c>
      <c r="D556" s="43" t="s">
        <v>1423</v>
      </c>
      <c r="E556" t="s">
        <v>1329</v>
      </c>
      <c r="F556" s="44" t="s">
        <v>569</v>
      </c>
      <c r="G556" s="36" t="s">
        <v>163</v>
      </c>
      <c r="H556" s="36" t="s">
        <v>163</v>
      </c>
      <c r="I556" s="36" t="s">
        <v>163</v>
      </c>
      <c r="J556" s="43" t="s">
        <v>1410</v>
      </c>
      <c r="K556" t="s">
        <v>285</v>
      </c>
      <c r="L556" s="43" t="s">
        <v>141</v>
      </c>
      <c r="M556" s="43" t="s">
        <v>313</v>
      </c>
      <c r="N556">
        <v>2</v>
      </c>
      <c r="O556" s="57">
        <v>42542</v>
      </c>
    </row>
    <row r="557" spans="1:15" ht="25.95" customHeight="1" x14ac:dyDescent="0.25">
      <c r="A557" s="41" t="s">
        <v>502</v>
      </c>
      <c r="B557" s="42">
        <v>11199679</v>
      </c>
      <c r="C557" s="46">
        <v>2400</v>
      </c>
      <c r="D557" s="36" t="s">
        <v>1424</v>
      </c>
      <c r="E557" s="44" t="s">
        <v>593</v>
      </c>
      <c r="F557" s="36" t="s">
        <v>615</v>
      </c>
      <c r="G557" s="36" t="s">
        <v>163</v>
      </c>
      <c r="H557" s="36" t="s">
        <v>163</v>
      </c>
      <c r="I557" s="36" t="s">
        <v>163</v>
      </c>
      <c r="J557" s="43" t="s">
        <v>748</v>
      </c>
      <c r="K557" s="43" t="s">
        <v>143</v>
      </c>
      <c r="L557" s="43" t="s">
        <v>141</v>
      </c>
      <c r="M557" s="43" t="s">
        <v>313</v>
      </c>
      <c r="N557">
        <v>30</v>
      </c>
      <c r="O557" s="57">
        <v>42522</v>
      </c>
    </row>
    <row r="558" spans="1:15" ht="26.4" x14ac:dyDescent="0.25">
      <c r="A558" s="41" t="s">
        <v>982</v>
      </c>
      <c r="B558" s="84">
        <v>22008433</v>
      </c>
      <c r="C558" s="46">
        <v>2680</v>
      </c>
      <c r="D558" s="43" t="s">
        <v>1425</v>
      </c>
      <c r="E558" s="35" t="s">
        <v>608</v>
      </c>
      <c r="F558" s="68" t="s">
        <v>990</v>
      </c>
      <c r="G558" s="36" t="s">
        <v>163</v>
      </c>
      <c r="H558" s="36" t="s">
        <v>163</v>
      </c>
      <c r="I558" s="36" t="s">
        <v>163</v>
      </c>
      <c r="J558" s="43" t="s">
        <v>983</v>
      </c>
      <c r="L558" s="43" t="s">
        <v>141</v>
      </c>
      <c r="M558" s="43" t="s">
        <v>313</v>
      </c>
      <c r="N558">
        <v>30</v>
      </c>
      <c r="O558" s="57">
        <v>42522</v>
      </c>
    </row>
    <row r="559" spans="1:15" ht="26.4" x14ac:dyDescent="0.25">
      <c r="A559" s="41" t="s">
        <v>1384</v>
      </c>
      <c r="B559" s="52">
        <v>31990359</v>
      </c>
      <c r="C559" s="46">
        <v>1000</v>
      </c>
      <c r="D559" s="43" t="s">
        <v>1426</v>
      </c>
      <c r="E559" s="35" t="s">
        <v>1427</v>
      </c>
      <c r="F559" s="44" t="s">
        <v>569</v>
      </c>
      <c r="G559" s="36" t="s">
        <v>163</v>
      </c>
      <c r="H559" s="36" t="s">
        <v>163</v>
      </c>
      <c r="I559" s="36" t="s">
        <v>163</v>
      </c>
      <c r="J559" s="43" t="s">
        <v>970</v>
      </c>
      <c r="K559" s="35" t="s">
        <v>285</v>
      </c>
      <c r="L559" s="43" t="s">
        <v>723</v>
      </c>
      <c r="M559" s="43" t="s">
        <v>313</v>
      </c>
      <c r="N559">
        <v>10</v>
      </c>
      <c r="O559" s="57">
        <v>42535</v>
      </c>
    </row>
    <row r="560" spans="1:15" ht="26.4" x14ac:dyDescent="0.25">
      <c r="A560" s="67" t="s">
        <v>1224</v>
      </c>
      <c r="B560" s="84">
        <v>36146287</v>
      </c>
      <c r="C560" s="46">
        <v>800</v>
      </c>
      <c r="D560" s="77" t="s">
        <v>1429</v>
      </c>
      <c r="E560" s="53" t="s">
        <v>593</v>
      </c>
      <c r="F560" s="53" t="s">
        <v>569</v>
      </c>
      <c r="G560" s="36" t="s">
        <v>163</v>
      </c>
      <c r="H560" s="36" t="s">
        <v>163</v>
      </c>
      <c r="I560" s="36" t="s">
        <v>163</v>
      </c>
      <c r="J560" s="77" t="s">
        <v>1221</v>
      </c>
      <c r="K560">
        <v>665</v>
      </c>
      <c r="L560" s="77" t="s">
        <v>141</v>
      </c>
      <c r="M560" s="77" t="s">
        <v>269</v>
      </c>
      <c r="N560" s="74">
        <v>1</v>
      </c>
      <c r="O560" s="57">
        <v>42551</v>
      </c>
    </row>
    <row r="561" spans="1:16" ht="26.4" x14ac:dyDescent="0.25">
      <c r="A561" s="41" t="s">
        <v>908</v>
      </c>
      <c r="B561" s="52">
        <v>23398053</v>
      </c>
      <c r="C561" s="46">
        <v>2000</v>
      </c>
      <c r="D561" s="43" t="s">
        <v>1430</v>
      </c>
      <c r="E561" s="35" t="s">
        <v>1431</v>
      </c>
      <c r="F561" s="44" t="s">
        <v>569</v>
      </c>
      <c r="G561" s="36" t="s">
        <v>163</v>
      </c>
      <c r="H561" s="36" t="s">
        <v>163</v>
      </c>
      <c r="I561" s="36" t="s">
        <v>163</v>
      </c>
      <c r="J561" s="43" t="s">
        <v>896</v>
      </c>
      <c r="K561">
        <v>195</v>
      </c>
      <c r="L561" s="43" t="s">
        <v>141</v>
      </c>
      <c r="M561" s="43" t="s">
        <v>313</v>
      </c>
      <c r="N561">
        <v>3</v>
      </c>
      <c r="O561" s="57">
        <v>42551</v>
      </c>
    </row>
    <row r="562" spans="1:16" ht="26.4" x14ac:dyDescent="0.25">
      <c r="A562" s="41" t="s">
        <v>908</v>
      </c>
      <c r="B562" s="52">
        <v>23398053</v>
      </c>
      <c r="C562" s="46">
        <v>1500</v>
      </c>
      <c r="D562" s="43" t="s">
        <v>1432</v>
      </c>
      <c r="E562" s="53" t="s">
        <v>593</v>
      </c>
      <c r="F562" s="44" t="s">
        <v>569</v>
      </c>
      <c r="G562" s="36" t="s">
        <v>163</v>
      </c>
      <c r="H562" s="36" t="s">
        <v>163</v>
      </c>
      <c r="I562" s="36" t="s">
        <v>163</v>
      </c>
      <c r="J562" s="43" t="s">
        <v>896</v>
      </c>
      <c r="K562">
        <v>195</v>
      </c>
      <c r="L562" s="43" t="s">
        <v>141</v>
      </c>
      <c r="M562" s="43" t="s">
        <v>313</v>
      </c>
      <c r="N562">
        <v>2</v>
      </c>
      <c r="O562" s="57">
        <v>42549</v>
      </c>
    </row>
    <row r="563" spans="1:16" ht="26.4" x14ac:dyDescent="0.25">
      <c r="A563" s="67" t="s">
        <v>1433</v>
      </c>
      <c r="B563" s="84">
        <v>34274686</v>
      </c>
      <c r="C563" s="46">
        <v>2000</v>
      </c>
      <c r="D563" s="43" t="s">
        <v>1435</v>
      </c>
      <c r="E563" s="53" t="s">
        <v>572</v>
      </c>
      <c r="F563" s="44" t="s">
        <v>536</v>
      </c>
      <c r="G563" s="36" t="s">
        <v>163</v>
      </c>
      <c r="H563" s="36" t="s">
        <v>163</v>
      </c>
      <c r="I563" s="36" t="s">
        <v>163</v>
      </c>
      <c r="J563" s="43" t="s">
        <v>1434</v>
      </c>
      <c r="K563" t="s">
        <v>143</v>
      </c>
      <c r="L563" s="43" t="s">
        <v>865</v>
      </c>
      <c r="M563" s="43" t="s">
        <v>313</v>
      </c>
      <c r="N563">
        <v>3</v>
      </c>
      <c r="O563" s="57">
        <v>42549</v>
      </c>
    </row>
    <row r="564" spans="1:16" ht="26.4" x14ac:dyDescent="0.25">
      <c r="A564" s="67" t="s">
        <v>1438</v>
      </c>
      <c r="B564" s="84">
        <v>92908722</v>
      </c>
      <c r="C564" s="46">
        <v>5000</v>
      </c>
      <c r="D564" s="43" t="s">
        <v>1440</v>
      </c>
      <c r="E564" s="53" t="s">
        <v>572</v>
      </c>
      <c r="F564" s="44" t="s">
        <v>536</v>
      </c>
      <c r="G564" s="36" t="s">
        <v>163</v>
      </c>
      <c r="H564" s="36" t="s">
        <v>163</v>
      </c>
      <c r="I564" s="36" t="s">
        <v>163</v>
      </c>
      <c r="J564" s="43" t="s">
        <v>1436</v>
      </c>
      <c r="K564">
        <v>572</v>
      </c>
      <c r="L564" s="43" t="s">
        <v>1437</v>
      </c>
      <c r="M564" s="43" t="s">
        <v>313</v>
      </c>
      <c r="N564">
        <v>3</v>
      </c>
      <c r="O564" s="57">
        <v>42558</v>
      </c>
    </row>
    <row r="565" spans="1:16" ht="26.4" x14ac:dyDescent="0.25">
      <c r="A565" s="67" t="s">
        <v>1439</v>
      </c>
      <c r="B565" s="84">
        <v>13647684</v>
      </c>
      <c r="C565" s="46">
        <v>3000</v>
      </c>
      <c r="D565" s="43" t="s">
        <v>1441</v>
      </c>
      <c r="E565" s="53" t="s">
        <v>572</v>
      </c>
      <c r="F565" s="44" t="s">
        <v>536</v>
      </c>
      <c r="G565" s="36" t="s">
        <v>163</v>
      </c>
      <c r="H565" s="36" t="s">
        <v>163</v>
      </c>
      <c r="I565" s="36" t="s">
        <v>163</v>
      </c>
      <c r="J565" s="43" t="s">
        <v>1442</v>
      </c>
      <c r="K565">
        <v>3053</v>
      </c>
      <c r="L565" s="43" t="s">
        <v>313</v>
      </c>
      <c r="M565" s="43" t="s">
        <v>313</v>
      </c>
      <c r="N565">
        <v>3</v>
      </c>
      <c r="O565" s="57">
        <v>42558</v>
      </c>
    </row>
    <row r="566" spans="1:16" ht="26.4" x14ac:dyDescent="0.25">
      <c r="A566" s="67" t="s">
        <v>1443</v>
      </c>
      <c r="B566" s="84">
        <v>28944358</v>
      </c>
      <c r="C566" s="46">
        <v>5000</v>
      </c>
      <c r="D566" s="43" t="s">
        <v>1440</v>
      </c>
      <c r="E566" s="53" t="s">
        <v>572</v>
      </c>
      <c r="F566" s="44" t="s">
        <v>536</v>
      </c>
      <c r="G566" s="36" t="s">
        <v>163</v>
      </c>
      <c r="H566" s="36" t="s">
        <v>163</v>
      </c>
      <c r="I566" s="36" t="s">
        <v>163</v>
      </c>
      <c r="J566" s="43" t="s">
        <v>1444</v>
      </c>
      <c r="K566">
        <v>610</v>
      </c>
      <c r="L566" s="43" t="s">
        <v>313</v>
      </c>
      <c r="M566" s="43" t="s">
        <v>313</v>
      </c>
      <c r="N566">
        <v>3</v>
      </c>
      <c r="O566" s="57">
        <v>42558</v>
      </c>
    </row>
    <row r="567" spans="1:16" ht="26.4" x14ac:dyDescent="0.25">
      <c r="A567" s="67" t="s">
        <v>1445</v>
      </c>
      <c r="B567" s="84">
        <v>25095605</v>
      </c>
      <c r="C567" s="46">
        <v>5000</v>
      </c>
      <c r="D567" s="43" t="s">
        <v>1440</v>
      </c>
      <c r="E567" s="35" t="s">
        <v>1446</v>
      </c>
      <c r="F567" s="36" t="s">
        <v>993</v>
      </c>
      <c r="G567" s="36" t="s">
        <v>163</v>
      </c>
      <c r="H567" s="36" t="s">
        <v>163</v>
      </c>
      <c r="I567" s="36" t="s">
        <v>163</v>
      </c>
      <c r="J567" s="43" t="s">
        <v>1447</v>
      </c>
      <c r="K567">
        <v>190</v>
      </c>
      <c r="L567" s="43" t="s">
        <v>1448</v>
      </c>
      <c r="M567" s="43" t="s">
        <v>313</v>
      </c>
      <c r="N567">
        <v>3</v>
      </c>
      <c r="O567" s="57">
        <v>42558</v>
      </c>
    </row>
    <row r="568" spans="1:16" ht="26.4" x14ac:dyDescent="0.25">
      <c r="A568" s="67" t="s">
        <v>1449</v>
      </c>
      <c r="B568" s="84">
        <v>26597505</v>
      </c>
      <c r="C568" s="46">
        <v>3000</v>
      </c>
      <c r="D568" s="43" t="s">
        <v>1440</v>
      </c>
      <c r="E568" s="35" t="s">
        <v>1450</v>
      </c>
      <c r="F568" s="36" t="s">
        <v>993</v>
      </c>
      <c r="G568" s="36" t="s">
        <v>163</v>
      </c>
      <c r="H568" s="36" t="s">
        <v>163</v>
      </c>
      <c r="I568" s="36" t="s">
        <v>163</v>
      </c>
      <c r="J568" s="43" t="s">
        <v>1451</v>
      </c>
      <c r="K568">
        <v>1328</v>
      </c>
      <c r="L568" s="43" t="s">
        <v>1452</v>
      </c>
      <c r="M568" s="43" t="s">
        <v>313</v>
      </c>
      <c r="N568">
        <v>3</v>
      </c>
      <c r="O568" s="57">
        <v>42558</v>
      </c>
    </row>
    <row r="569" spans="1:16" ht="26.4" x14ac:dyDescent="0.25">
      <c r="A569" s="67" t="s">
        <v>1453</v>
      </c>
      <c r="B569" s="84" t="s">
        <v>1454</v>
      </c>
      <c r="C569" s="46" t="s">
        <v>1455</v>
      </c>
      <c r="D569" s="43" t="s">
        <v>1456</v>
      </c>
      <c r="E569" s="35" t="s">
        <v>1450</v>
      </c>
      <c r="F569" s="36" t="s">
        <v>993</v>
      </c>
      <c r="G569" s="36" t="s">
        <v>163</v>
      </c>
      <c r="H569" s="36" t="s">
        <v>163</v>
      </c>
      <c r="I569" s="36" t="s">
        <v>163</v>
      </c>
      <c r="J569" s="43" t="s">
        <v>1457</v>
      </c>
      <c r="K569">
        <v>1433</v>
      </c>
      <c r="L569" s="43" t="s">
        <v>269</v>
      </c>
      <c r="M569" s="43" t="s">
        <v>313</v>
      </c>
      <c r="N569">
        <v>3</v>
      </c>
      <c r="O569" s="57">
        <v>42558</v>
      </c>
    </row>
    <row r="570" spans="1:16" ht="26.4" x14ac:dyDescent="0.25">
      <c r="A570" s="67" t="s">
        <v>894</v>
      </c>
      <c r="B570" s="84">
        <v>36917651</v>
      </c>
      <c r="C570" s="46">
        <v>19320</v>
      </c>
      <c r="D570" s="43" t="s">
        <v>1467</v>
      </c>
      <c r="E570" s="35" t="s">
        <v>1468</v>
      </c>
      <c r="F570" s="36" t="s">
        <v>1469</v>
      </c>
      <c r="G570" s="36" t="s">
        <v>1466</v>
      </c>
      <c r="H570" s="36" t="s">
        <v>163</v>
      </c>
      <c r="I570" s="36" t="s">
        <v>163</v>
      </c>
      <c r="J570" s="43" t="s">
        <v>896</v>
      </c>
      <c r="K570">
        <v>471</v>
      </c>
      <c r="L570" s="43" t="s">
        <v>141</v>
      </c>
      <c r="M570" s="43" t="s">
        <v>313</v>
      </c>
      <c r="N570">
        <v>45</v>
      </c>
      <c r="O570" s="57">
        <v>42563</v>
      </c>
    </row>
    <row r="571" spans="1:16" ht="26.4" x14ac:dyDescent="0.25">
      <c r="A571" s="41" t="s">
        <v>885</v>
      </c>
      <c r="B571" s="52">
        <v>22104090</v>
      </c>
      <c r="C571" s="46">
        <v>24000</v>
      </c>
      <c r="D571" s="43" t="s">
        <v>1458</v>
      </c>
      <c r="E571" s="35" t="s">
        <v>1459</v>
      </c>
      <c r="F571" s="44" t="s">
        <v>371</v>
      </c>
      <c r="G571" s="36" t="s">
        <v>163</v>
      </c>
      <c r="H571" s="36" t="s">
        <v>163</v>
      </c>
      <c r="I571" s="36" t="s">
        <v>163</v>
      </c>
      <c r="J571" s="43" t="s">
        <v>886</v>
      </c>
      <c r="K571" t="s">
        <v>285</v>
      </c>
      <c r="L571" s="43" t="s">
        <v>141</v>
      </c>
      <c r="M571" s="43" t="s">
        <v>313</v>
      </c>
      <c r="N571">
        <v>30</v>
      </c>
      <c r="O571" s="57">
        <v>42538</v>
      </c>
    </row>
    <row r="572" spans="1:16" ht="26.4" x14ac:dyDescent="0.25">
      <c r="A572" s="67" t="s">
        <v>1460</v>
      </c>
      <c r="B572" s="84">
        <v>25688763</v>
      </c>
      <c r="C572" s="46">
        <v>3200</v>
      </c>
      <c r="D572" s="43" t="s">
        <v>1461</v>
      </c>
      <c r="E572" s="53" t="s">
        <v>1470</v>
      </c>
      <c r="F572" s="44" t="s">
        <v>569</v>
      </c>
      <c r="G572" s="36" t="s">
        <v>163</v>
      </c>
      <c r="H572" s="36" t="s">
        <v>163</v>
      </c>
      <c r="I572" s="36" t="s">
        <v>163</v>
      </c>
      <c r="J572" s="43" t="s">
        <v>1107</v>
      </c>
      <c r="K572" t="s">
        <v>1150</v>
      </c>
      <c r="L572" s="43" t="s">
        <v>1462</v>
      </c>
      <c r="M572" s="43" t="s">
        <v>269</v>
      </c>
      <c r="N572">
        <v>8</v>
      </c>
      <c r="O572" s="57">
        <v>42552</v>
      </c>
    </row>
    <row r="573" spans="1:16" ht="26.4" x14ac:dyDescent="0.25">
      <c r="A573" s="67" t="s">
        <v>1068</v>
      </c>
      <c r="B573" s="84">
        <v>33017391</v>
      </c>
      <c r="C573" s="46">
        <v>500</v>
      </c>
      <c r="D573" s="43" t="s">
        <v>1476</v>
      </c>
      <c r="E573" t="s">
        <v>1471</v>
      </c>
      <c r="F573" t="s">
        <v>1471</v>
      </c>
      <c r="G573" t="s">
        <v>1471</v>
      </c>
      <c r="H573" t="s">
        <v>1471</v>
      </c>
      <c r="I573" t="s">
        <v>1471</v>
      </c>
      <c r="J573" s="43" t="s">
        <v>781</v>
      </c>
      <c r="K573" s="35" t="s">
        <v>285</v>
      </c>
      <c r="L573" s="43" t="s">
        <v>782</v>
      </c>
      <c r="M573" s="43" t="s">
        <v>269</v>
      </c>
      <c r="N573">
        <v>7</v>
      </c>
      <c r="O573" s="57">
        <v>42562</v>
      </c>
    </row>
    <row r="574" spans="1:16" ht="26.4" x14ac:dyDescent="0.25">
      <c r="A574" s="67" t="s">
        <v>1472</v>
      </c>
      <c r="B574" s="84">
        <v>22052559</v>
      </c>
      <c r="C574" s="46">
        <v>1940</v>
      </c>
      <c r="D574" s="43" t="s">
        <v>1473</v>
      </c>
      <c r="E574" s="54" t="s">
        <v>661</v>
      </c>
      <c r="F574" s="54" t="s">
        <v>661</v>
      </c>
      <c r="G574" s="44" t="s">
        <v>661</v>
      </c>
      <c r="H574" s="44" t="s">
        <v>661</v>
      </c>
      <c r="I574" s="44" t="s">
        <v>661</v>
      </c>
      <c r="J574" s="43" t="s">
        <v>1474</v>
      </c>
      <c r="K574" s="36" t="s">
        <v>285</v>
      </c>
      <c r="L574" s="43" t="s">
        <v>141</v>
      </c>
      <c r="M574" s="43" t="s">
        <v>313</v>
      </c>
      <c r="N574">
        <v>60</v>
      </c>
      <c r="O574" s="57">
        <v>42497</v>
      </c>
      <c r="P574" t="s">
        <v>1475</v>
      </c>
    </row>
    <row r="575" spans="1:16" ht="26.4" x14ac:dyDescent="0.25">
      <c r="A575" s="41" t="s">
        <v>908</v>
      </c>
      <c r="B575" s="52">
        <v>23398053</v>
      </c>
      <c r="C575" s="46">
        <v>1000</v>
      </c>
      <c r="D575" s="43" t="s">
        <v>1477</v>
      </c>
      <c r="E575" s="53" t="s">
        <v>661</v>
      </c>
      <c r="F575" s="44" t="s">
        <v>569</v>
      </c>
      <c r="G575" s="44" t="s">
        <v>661</v>
      </c>
      <c r="H575" s="36" t="s">
        <v>163</v>
      </c>
      <c r="I575" s="36" t="s">
        <v>1013</v>
      </c>
      <c r="J575" s="43" t="s">
        <v>896</v>
      </c>
      <c r="K575">
        <v>195</v>
      </c>
      <c r="L575" s="43" t="s">
        <v>141</v>
      </c>
      <c r="M575" s="43" t="s">
        <v>313</v>
      </c>
      <c r="N575">
        <v>2</v>
      </c>
      <c r="O575" s="57">
        <v>42569</v>
      </c>
    </row>
    <row r="576" spans="1:16" ht="26.4" x14ac:dyDescent="0.25">
      <c r="A576" s="41" t="s">
        <v>1383</v>
      </c>
      <c r="B576" s="52">
        <v>18105934</v>
      </c>
      <c r="C576" s="46">
        <v>26000</v>
      </c>
      <c r="D576" s="43" t="s">
        <v>1478</v>
      </c>
      <c r="E576" s="35" t="s">
        <v>1480</v>
      </c>
      <c r="F576" s="36" t="s">
        <v>1479</v>
      </c>
      <c r="G576" s="36" t="s">
        <v>163</v>
      </c>
      <c r="H576" s="36" t="s">
        <v>163</v>
      </c>
      <c r="I576" s="36" t="s">
        <v>163</v>
      </c>
      <c r="J576" s="43" t="s">
        <v>929</v>
      </c>
      <c r="K576" s="35" t="s">
        <v>285</v>
      </c>
      <c r="L576" s="43" t="s">
        <v>378</v>
      </c>
      <c r="M576" s="43" t="s">
        <v>313</v>
      </c>
      <c r="N576">
        <v>20</v>
      </c>
      <c r="O576" s="57">
        <v>42569</v>
      </c>
    </row>
    <row r="577" spans="1:15" ht="25.95" customHeight="1" x14ac:dyDescent="0.25">
      <c r="A577" s="41" t="s">
        <v>502</v>
      </c>
      <c r="B577" s="42">
        <v>11199679</v>
      </c>
      <c r="C577" s="46">
        <v>3520</v>
      </c>
      <c r="D577" s="36" t="s">
        <v>1481</v>
      </c>
      <c r="E577" s="44" t="s">
        <v>661</v>
      </c>
      <c r="F577" s="36" t="s">
        <v>615</v>
      </c>
      <c r="G577" s="36" t="s">
        <v>1013</v>
      </c>
      <c r="H577" s="36" t="s">
        <v>163</v>
      </c>
      <c r="I577" s="36" t="s">
        <v>163</v>
      </c>
      <c r="J577" s="43" t="s">
        <v>748</v>
      </c>
      <c r="K577" s="43" t="s">
        <v>143</v>
      </c>
      <c r="L577" s="43" t="s">
        <v>141</v>
      </c>
      <c r="M577" s="43" t="s">
        <v>313</v>
      </c>
      <c r="N577">
        <v>30</v>
      </c>
      <c r="O577" s="57">
        <v>42552</v>
      </c>
    </row>
    <row r="578" spans="1:15" ht="26.4" x14ac:dyDescent="0.25">
      <c r="A578" s="41" t="s">
        <v>982</v>
      </c>
      <c r="B578" s="84">
        <v>22008433</v>
      </c>
      <c r="C578" s="46">
        <v>4640</v>
      </c>
      <c r="D578" s="43" t="s">
        <v>1482</v>
      </c>
      <c r="E578" s="35" t="s">
        <v>608</v>
      </c>
      <c r="F578" s="68" t="s">
        <v>990</v>
      </c>
      <c r="G578" s="36" t="s">
        <v>163</v>
      </c>
      <c r="H578" s="36" t="s">
        <v>163</v>
      </c>
      <c r="I578" s="36" t="s">
        <v>163</v>
      </c>
      <c r="J578" s="43" t="s">
        <v>983</v>
      </c>
      <c r="L578" s="43" t="s">
        <v>141</v>
      </c>
      <c r="M578" s="43" t="s">
        <v>313</v>
      </c>
      <c r="N578">
        <v>30</v>
      </c>
      <c r="O578" s="69">
        <v>42552</v>
      </c>
    </row>
    <row r="579" spans="1:15" ht="26.4" x14ac:dyDescent="0.25">
      <c r="A579" s="41" t="s">
        <v>863</v>
      </c>
      <c r="B579" s="42">
        <v>22214698</v>
      </c>
      <c r="C579" s="46">
        <v>18640</v>
      </c>
      <c r="D579" s="43" t="s">
        <v>1483</v>
      </c>
      <c r="E579" s="35" t="s">
        <v>1484</v>
      </c>
      <c r="F579" s="44" t="s">
        <v>569</v>
      </c>
      <c r="G579" s="36" t="s">
        <v>163</v>
      </c>
      <c r="H579" s="36" t="s">
        <v>163</v>
      </c>
      <c r="I579" s="36" t="s">
        <v>163</v>
      </c>
      <c r="J579" s="43" t="s">
        <v>864</v>
      </c>
      <c r="K579" s="35" t="s">
        <v>285</v>
      </c>
      <c r="L579" s="43" t="s">
        <v>865</v>
      </c>
      <c r="M579" s="43" t="s">
        <v>313</v>
      </c>
      <c r="N579">
        <v>3</v>
      </c>
      <c r="O579" s="57">
        <v>42576</v>
      </c>
    </row>
    <row r="580" spans="1:15" ht="26.4" x14ac:dyDescent="0.25">
      <c r="A580" s="41" t="s">
        <v>908</v>
      </c>
      <c r="B580" s="52">
        <v>23398053</v>
      </c>
      <c r="C580" s="46">
        <v>1500</v>
      </c>
      <c r="D580" s="43" t="s">
        <v>1485</v>
      </c>
      <c r="E580" s="35" t="s">
        <v>1486</v>
      </c>
      <c r="F580" s="44" t="s">
        <v>569</v>
      </c>
      <c r="G580" s="44" t="s">
        <v>661</v>
      </c>
      <c r="H580" s="36" t="s">
        <v>163</v>
      </c>
      <c r="I580" s="36" t="s">
        <v>1013</v>
      </c>
      <c r="J580" s="43" t="s">
        <v>896</v>
      </c>
      <c r="K580">
        <v>195</v>
      </c>
      <c r="L580" s="43" t="s">
        <v>141</v>
      </c>
      <c r="M580" s="43" t="s">
        <v>313</v>
      </c>
      <c r="N580">
        <v>3</v>
      </c>
      <c r="O580" s="57">
        <v>42576</v>
      </c>
    </row>
    <row r="581" spans="1:15" ht="26.4" x14ac:dyDescent="0.25">
      <c r="A581" s="41" t="s">
        <v>1487</v>
      </c>
      <c r="B581" s="8">
        <v>39026760</v>
      </c>
      <c r="C581" s="46">
        <v>1300</v>
      </c>
      <c r="D581" s="43" t="s">
        <v>1488</v>
      </c>
      <c r="E581" t="e">
        <f>------------------------------------------------------------------------------------------------------------------------------------------K583a</f>
        <v>#NAME?</v>
      </c>
      <c r="J581" s="43" t="s">
        <v>545</v>
      </c>
      <c r="K581">
        <v>531</v>
      </c>
      <c r="L581" s="43" t="s">
        <v>1489</v>
      </c>
      <c r="M581" s="43" t="s">
        <v>269</v>
      </c>
      <c r="N581">
        <v>4</v>
      </c>
      <c r="O581" s="57">
        <v>42580</v>
      </c>
    </row>
    <row r="582" spans="1:15" ht="26.4" x14ac:dyDescent="0.25">
      <c r="A582" s="41" t="s">
        <v>1490</v>
      </c>
      <c r="B582" s="84">
        <v>16361020</v>
      </c>
      <c r="C582" s="46">
        <v>1800</v>
      </c>
      <c r="D582" s="43" t="s">
        <v>1492</v>
      </c>
      <c r="E582" s="54" t="s">
        <v>658</v>
      </c>
      <c r="F582" s="54" t="s">
        <v>658</v>
      </c>
      <c r="G582" s="44" t="s">
        <v>658</v>
      </c>
      <c r="H582" s="44" t="s">
        <v>658</v>
      </c>
      <c r="I582" s="44" t="s">
        <v>661</v>
      </c>
      <c r="J582" s="43" t="s">
        <v>1491</v>
      </c>
      <c r="K582" t="s">
        <v>143</v>
      </c>
      <c r="L582" s="43" t="s">
        <v>1139</v>
      </c>
      <c r="M582" s="43" t="s">
        <v>269</v>
      </c>
      <c r="N582">
        <v>10</v>
      </c>
      <c r="O582" s="57">
        <v>42580</v>
      </c>
    </row>
    <row r="583" spans="1:15" ht="15.6" customHeight="1" x14ac:dyDescent="0.25">
      <c r="A583" s="41" t="s">
        <v>1493</v>
      </c>
      <c r="B583" s="42">
        <v>18644221</v>
      </c>
      <c r="C583" s="46">
        <v>20000</v>
      </c>
      <c r="D583" s="36" t="s">
        <v>1494</v>
      </c>
      <c r="E583" s="36" t="s">
        <v>1495</v>
      </c>
      <c r="F583" s="44" t="s">
        <v>569</v>
      </c>
      <c r="G583" s="36" t="s">
        <v>1013</v>
      </c>
      <c r="H583" s="36" t="s">
        <v>163</v>
      </c>
      <c r="I583" s="36" t="s">
        <v>1013</v>
      </c>
      <c r="J583" s="43" t="s">
        <v>429</v>
      </c>
      <c r="K583">
        <v>325</v>
      </c>
      <c r="L583" s="43" t="s">
        <v>141</v>
      </c>
      <c r="M583" s="43" t="s">
        <v>313</v>
      </c>
      <c r="N583">
        <v>30</v>
      </c>
      <c r="O583" s="57">
        <v>42555</v>
      </c>
    </row>
    <row r="584" spans="1:15" ht="14.4" customHeight="1" x14ac:dyDescent="0.25">
      <c r="A584" s="41" t="s">
        <v>1496</v>
      </c>
      <c r="B584" s="42">
        <v>31230172</v>
      </c>
      <c r="C584" s="46">
        <v>3100</v>
      </c>
      <c r="D584" s="36" t="s">
        <v>1498</v>
      </c>
      <c r="E584" s="36" t="s">
        <v>1497</v>
      </c>
      <c r="F584" s="44" t="s">
        <v>569</v>
      </c>
      <c r="G584" s="44" t="s">
        <v>661</v>
      </c>
      <c r="H584" s="36" t="s">
        <v>163</v>
      </c>
      <c r="I584" s="36" t="s">
        <v>163</v>
      </c>
      <c r="J584" s="43" t="s">
        <v>760</v>
      </c>
      <c r="K584" t="s">
        <v>143</v>
      </c>
      <c r="L584" s="43" t="s">
        <v>378</v>
      </c>
      <c r="M584" s="43" t="s">
        <v>313</v>
      </c>
      <c r="N584">
        <v>4</v>
      </c>
      <c r="O584" s="57">
        <v>42576</v>
      </c>
    </row>
    <row r="585" spans="1:15" ht="26.4" x14ac:dyDescent="0.25">
      <c r="A585" s="41" t="s">
        <v>1500</v>
      </c>
      <c r="B585" s="8">
        <v>12135561</v>
      </c>
      <c r="C585" s="46">
        <v>2300</v>
      </c>
      <c r="D585" s="36" t="s">
        <v>1501</v>
      </c>
      <c r="E585" s="36" t="s">
        <v>1502</v>
      </c>
      <c r="F585" s="36" t="s">
        <v>1499</v>
      </c>
      <c r="G585" s="36" t="s">
        <v>163</v>
      </c>
      <c r="H585" s="36" t="s">
        <v>163</v>
      </c>
      <c r="I585" s="36" t="s">
        <v>163</v>
      </c>
      <c r="J585" s="35" t="s">
        <v>343</v>
      </c>
      <c r="K585" s="35" t="s">
        <v>285</v>
      </c>
      <c r="L585" s="35" t="s">
        <v>344</v>
      </c>
      <c r="M585" s="35" t="s">
        <v>313</v>
      </c>
      <c r="N585">
        <v>1</v>
      </c>
      <c r="O585" s="57">
        <v>42589</v>
      </c>
    </row>
    <row r="586" spans="1:15" ht="26.4" x14ac:dyDescent="0.25">
      <c r="A586" s="41" t="s">
        <v>1505</v>
      </c>
      <c r="B586" s="8">
        <v>27805447</v>
      </c>
      <c r="C586" s="46">
        <v>4500</v>
      </c>
      <c r="D586" s="36" t="s">
        <v>1503</v>
      </c>
      <c r="E586" s="36" t="s">
        <v>1502</v>
      </c>
      <c r="F586" s="36" t="s">
        <v>1499</v>
      </c>
      <c r="G586" s="36" t="s">
        <v>163</v>
      </c>
      <c r="H586" s="36" t="s">
        <v>163</v>
      </c>
      <c r="I586" s="36" t="s">
        <v>163</v>
      </c>
      <c r="J586" s="35" t="s">
        <v>1504</v>
      </c>
      <c r="K586" s="35" t="s">
        <v>285</v>
      </c>
      <c r="L586" s="35" t="s">
        <v>870</v>
      </c>
      <c r="M586" s="35" t="s">
        <v>313</v>
      </c>
      <c r="N586">
        <v>1</v>
      </c>
      <c r="O586" s="57">
        <v>42589</v>
      </c>
    </row>
    <row r="587" spans="1:15" ht="26.4" x14ac:dyDescent="0.25">
      <c r="A587" s="41" t="s">
        <v>1384</v>
      </c>
      <c r="B587" s="52">
        <v>31990359</v>
      </c>
      <c r="C587" s="46">
        <v>1000</v>
      </c>
      <c r="D587" s="43" t="s">
        <v>1506</v>
      </c>
      <c r="E587" s="35" t="s">
        <v>1507</v>
      </c>
      <c r="F587" s="44" t="s">
        <v>569</v>
      </c>
      <c r="G587" s="36" t="s">
        <v>1013</v>
      </c>
      <c r="H587" s="36" t="s">
        <v>163</v>
      </c>
      <c r="I587" s="36" t="s">
        <v>163</v>
      </c>
      <c r="J587" s="43" t="s">
        <v>970</v>
      </c>
      <c r="K587" s="35" t="s">
        <v>285</v>
      </c>
      <c r="L587" s="43" t="s">
        <v>723</v>
      </c>
      <c r="M587" s="43" t="s">
        <v>313</v>
      </c>
      <c r="N587">
        <v>12</v>
      </c>
      <c r="O587" s="57">
        <v>42576</v>
      </c>
    </row>
    <row r="588" spans="1:15" ht="26.4" x14ac:dyDescent="0.25">
      <c r="A588" s="41" t="s">
        <v>1508</v>
      </c>
      <c r="B588" s="52">
        <v>34688258</v>
      </c>
      <c r="C588" s="46">
        <v>13000</v>
      </c>
      <c r="D588" s="36" t="s">
        <v>1509</v>
      </c>
      <c r="E588" s="36" t="s">
        <v>1502</v>
      </c>
      <c r="F588" s="36" t="s">
        <v>1499</v>
      </c>
      <c r="G588" s="36" t="s">
        <v>163</v>
      </c>
      <c r="H588" s="36" t="s">
        <v>163</v>
      </c>
      <c r="I588" s="36" t="s">
        <v>163</v>
      </c>
      <c r="J588" s="35" t="s">
        <v>1510</v>
      </c>
      <c r="K588" s="35">
        <v>346</v>
      </c>
      <c r="L588" s="35" t="s">
        <v>404</v>
      </c>
      <c r="M588" s="35" t="s">
        <v>313</v>
      </c>
      <c r="N588">
        <v>1</v>
      </c>
      <c r="O588" s="57">
        <v>42589</v>
      </c>
    </row>
    <row r="589" spans="1:15" ht="26.4" x14ac:dyDescent="0.25">
      <c r="A589" s="34" t="s">
        <v>280</v>
      </c>
      <c r="B589" s="18">
        <v>17764523</v>
      </c>
      <c r="C589" s="46">
        <v>11000</v>
      </c>
      <c r="D589" s="36" t="s">
        <v>1511</v>
      </c>
      <c r="E589" s="36" t="s">
        <v>1502</v>
      </c>
      <c r="F589" s="36" t="s">
        <v>1499</v>
      </c>
      <c r="G589" s="36" t="s">
        <v>163</v>
      </c>
      <c r="H589" s="36" t="s">
        <v>163</v>
      </c>
      <c r="I589" s="36" t="s">
        <v>163</v>
      </c>
      <c r="J589" s="35" t="s">
        <v>284</v>
      </c>
      <c r="K589" s="35" t="s">
        <v>285</v>
      </c>
      <c r="L589" t="s">
        <v>194</v>
      </c>
      <c r="M589" s="35" t="s">
        <v>158</v>
      </c>
      <c r="N589">
        <v>1</v>
      </c>
      <c r="O589" s="57">
        <v>42589</v>
      </c>
    </row>
    <row r="590" spans="1:15" ht="26.4" x14ac:dyDescent="0.25">
      <c r="A590" s="34" t="s">
        <v>1512</v>
      </c>
      <c r="B590" s="18">
        <v>32888628</v>
      </c>
      <c r="C590" s="46">
        <v>2000</v>
      </c>
      <c r="D590" s="36" t="s">
        <v>1513</v>
      </c>
      <c r="E590" s="36" t="s">
        <v>1502</v>
      </c>
      <c r="F590" s="36" t="s">
        <v>1499</v>
      </c>
      <c r="G590" s="36" t="s">
        <v>163</v>
      </c>
      <c r="H590" s="36" t="s">
        <v>163</v>
      </c>
      <c r="I590" s="36" t="s">
        <v>163</v>
      </c>
      <c r="J590" s="35" t="s">
        <v>1514</v>
      </c>
      <c r="K590" s="35">
        <v>19</v>
      </c>
      <c r="L590" t="s">
        <v>141</v>
      </c>
      <c r="M590" s="35" t="s">
        <v>158</v>
      </c>
      <c r="N590">
        <v>1</v>
      </c>
      <c r="O590" s="57">
        <v>42589</v>
      </c>
    </row>
    <row r="591" spans="1:15" ht="26.4" x14ac:dyDescent="0.25">
      <c r="A591" s="41" t="s">
        <v>1520</v>
      </c>
      <c r="B591" s="84">
        <v>36146287</v>
      </c>
      <c r="C591" s="46">
        <v>2000</v>
      </c>
      <c r="D591" s="36" t="s">
        <v>1516</v>
      </c>
      <c r="E591" s="36" t="s">
        <v>1517</v>
      </c>
      <c r="F591" s="44" t="s">
        <v>1518</v>
      </c>
      <c r="G591" s="44" t="s">
        <v>1518</v>
      </c>
      <c r="H591" s="44" t="s">
        <v>1518</v>
      </c>
      <c r="I591" s="44" t="s">
        <v>1518</v>
      </c>
      <c r="J591" s="35" t="s">
        <v>1515</v>
      </c>
      <c r="K591">
        <v>665</v>
      </c>
      <c r="L591" t="s">
        <v>1489</v>
      </c>
      <c r="M591" s="35" t="s">
        <v>269</v>
      </c>
      <c r="N591" s="35">
        <v>1</v>
      </c>
      <c r="O591" s="57">
        <v>42589</v>
      </c>
    </row>
    <row r="592" spans="1:15" ht="26.4" x14ac:dyDescent="0.25">
      <c r="A592" s="41" t="s">
        <v>1521</v>
      </c>
      <c r="B592" s="84">
        <v>22104065</v>
      </c>
      <c r="C592" s="46">
        <v>4600</v>
      </c>
      <c r="D592" s="36" t="s">
        <v>1522</v>
      </c>
      <c r="E592" s="95" t="s">
        <v>1524</v>
      </c>
      <c r="F592" s="44" t="s">
        <v>1519</v>
      </c>
      <c r="G592" s="44" t="s">
        <v>1470</v>
      </c>
      <c r="H592" s="44" t="s">
        <v>1519</v>
      </c>
      <c r="I592" s="44" t="s">
        <v>1518</v>
      </c>
      <c r="J592" s="36" t="s">
        <v>1523</v>
      </c>
      <c r="K592">
        <v>2867</v>
      </c>
      <c r="L592" s="36" t="s">
        <v>141</v>
      </c>
      <c r="M592" s="35" t="s">
        <v>269</v>
      </c>
      <c r="N592" s="35">
        <v>15</v>
      </c>
      <c r="O592" s="57">
        <v>42571</v>
      </c>
    </row>
    <row r="593" spans="1:15" ht="13.2" customHeight="1" x14ac:dyDescent="0.25">
      <c r="A593" s="41" t="s">
        <v>1413</v>
      </c>
      <c r="B593" s="42">
        <v>6698968</v>
      </c>
      <c r="C593" s="46">
        <v>1000</v>
      </c>
      <c r="D593" s="36" t="s">
        <v>1525</v>
      </c>
      <c r="E593" s="36" t="s">
        <v>1526</v>
      </c>
      <c r="F593" s="44" t="s">
        <v>569</v>
      </c>
      <c r="G593" s="36" t="s">
        <v>163</v>
      </c>
      <c r="H593" s="36" t="s">
        <v>163</v>
      </c>
      <c r="I593" s="36" t="s">
        <v>163</v>
      </c>
      <c r="J593" s="43" t="s">
        <v>818</v>
      </c>
      <c r="K593" s="43" t="s">
        <v>1150</v>
      </c>
      <c r="L593" s="43" t="s">
        <v>141</v>
      </c>
      <c r="M593" s="43" t="s">
        <v>269</v>
      </c>
      <c r="N593">
        <v>30</v>
      </c>
      <c r="O593" s="57">
        <v>42561</v>
      </c>
    </row>
    <row r="594" spans="1:15" ht="26.4" x14ac:dyDescent="0.25">
      <c r="A594" s="41" t="s">
        <v>791</v>
      </c>
      <c r="B594" s="84">
        <v>29888477</v>
      </c>
      <c r="C594" s="46">
        <v>15000</v>
      </c>
      <c r="D594" s="36" t="s">
        <v>1529</v>
      </c>
      <c r="E594" s="36" t="s">
        <v>1530</v>
      </c>
      <c r="F594" s="44" t="s">
        <v>658</v>
      </c>
      <c r="G594" s="44" t="s">
        <v>658</v>
      </c>
      <c r="H594" s="44" t="s">
        <v>661</v>
      </c>
      <c r="I594" s="44" t="s">
        <v>658</v>
      </c>
      <c r="J594" s="36" t="s">
        <v>1380</v>
      </c>
      <c r="K594" s="36" t="s">
        <v>1150</v>
      </c>
      <c r="L594" s="36" t="s">
        <v>723</v>
      </c>
      <c r="M594" s="36" t="s">
        <v>269</v>
      </c>
      <c r="N594">
        <v>30</v>
      </c>
      <c r="O594" s="57">
        <v>42561</v>
      </c>
    </row>
    <row r="595" spans="1:15" ht="26.4" x14ac:dyDescent="0.25">
      <c r="A595" s="67" t="s">
        <v>1354</v>
      </c>
      <c r="B595" s="84">
        <v>6698429</v>
      </c>
      <c r="C595" s="46">
        <v>60000</v>
      </c>
      <c r="D595" s="77" t="s">
        <v>1527</v>
      </c>
      <c r="E595" s="36" t="s">
        <v>1528</v>
      </c>
      <c r="F595" s="54" t="s">
        <v>569</v>
      </c>
      <c r="G595" s="36" t="s">
        <v>163</v>
      </c>
      <c r="H595" s="36" t="s">
        <v>163</v>
      </c>
      <c r="I595" s="36" t="s">
        <v>163</v>
      </c>
      <c r="J595" s="77" t="s">
        <v>1357</v>
      </c>
      <c r="K595" t="s">
        <v>1150</v>
      </c>
      <c r="L595" s="77" t="s">
        <v>1358</v>
      </c>
      <c r="M595" s="77" t="s">
        <v>269</v>
      </c>
      <c r="N595" s="74">
        <v>20</v>
      </c>
      <c r="O595" s="57">
        <v>42576</v>
      </c>
    </row>
    <row r="596" spans="1:15" ht="26.4" x14ac:dyDescent="0.25">
      <c r="A596" s="41" t="s">
        <v>565</v>
      </c>
      <c r="B596" s="42">
        <v>12397514</v>
      </c>
      <c r="C596" s="46">
        <v>900</v>
      </c>
      <c r="D596" s="43" t="s">
        <v>1531</v>
      </c>
      <c r="E596" s="44" t="s">
        <v>658</v>
      </c>
      <c r="F596" s="51" t="s">
        <v>569</v>
      </c>
      <c r="G596" s="36" t="s">
        <v>1013</v>
      </c>
      <c r="H596" s="36" t="s">
        <v>163</v>
      </c>
      <c r="I596" s="36" t="s">
        <v>163</v>
      </c>
      <c r="J596" s="35" t="s">
        <v>566</v>
      </c>
      <c r="K596">
        <v>92</v>
      </c>
      <c r="L596" t="s">
        <v>141</v>
      </c>
      <c r="M596" s="35" t="s">
        <v>414</v>
      </c>
      <c r="N596">
        <v>8</v>
      </c>
      <c r="O596" s="57">
        <v>42579</v>
      </c>
    </row>
    <row r="597" spans="1:15" ht="26.4" x14ac:dyDescent="0.25">
      <c r="A597" s="41" t="s">
        <v>908</v>
      </c>
      <c r="B597" s="52">
        <v>23398053</v>
      </c>
      <c r="C597" s="46">
        <v>1000</v>
      </c>
      <c r="D597" s="43" t="s">
        <v>1532</v>
      </c>
      <c r="E597" s="35" t="s">
        <v>1533</v>
      </c>
      <c r="F597" s="44" t="s">
        <v>569</v>
      </c>
      <c r="G597" s="36" t="s">
        <v>163</v>
      </c>
      <c r="H597" s="36" t="s">
        <v>163</v>
      </c>
      <c r="I597" s="36" t="s">
        <v>163</v>
      </c>
      <c r="J597" s="43" t="s">
        <v>896</v>
      </c>
      <c r="K597">
        <v>195</v>
      </c>
      <c r="L597" s="43" t="s">
        <v>141</v>
      </c>
      <c r="M597" s="43" t="s">
        <v>313</v>
      </c>
      <c r="N597">
        <v>2</v>
      </c>
      <c r="O597" s="57">
        <v>42590</v>
      </c>
    </row>
    <row r="598" spans="1:15" ht="26.4" x14ac:dyDescent="0.25">
      <c r="A598" s="41" t="s">
        <v>908</v>
      </c>
      <c r="B598" s="52">
        <v>23398053</v>
      </c>
      <c r="C598" s="46">
        <v>3500</v>
      </c>
      <c r="D598" s="43" t="s">
        <v>1534</v>
      </c>
      <c r="E598" s="35" t="s">
        <v>1535</v>
      </c>
      <c r="F598" s="44" t="s">
        <v>569</v>
      </c>
      <c r="G598" s="36" t="s">
        <v>163</v>
      </c>
      <c r="H598" s="36" t="s">
        <v>163</v>
      </c>
      <c r="I598" s="36" t="s">
        <v>163</v>
      </c>
      <c r="J598" s="43" t="s">
        <v>896</v>
      </c>
      <c r="K598">
        <v>195</v>
      </c>
      <c r="L598" s="43" t="s">
        <v>141</v>
      </c>
      <c r="M598" s="43" t="s">
        <v>313</v>
      </c>
      <c r="N598">
        <v>30</v>
      </c>
      <c r="O598" s="57">
        <v>42563</v>
      </c>
    </row>
    <row r="599" spans="1:15" ht="16.95" customHeight="1" x14ac:dyDescent="0.25">
      <c r="A599" s="41" t="s">
        <v>829</v>
      </c>
      <c r="B599" s="42">
        <v>16038043</v>
      </c>
      <c r="C599" s="46">
        <v>3750</v>
      </c>
      <c r="D599" s="43" t="s">
        <v>1536</v>
      </c>
      <c r="E599" s="44" t="s">
        <v>593</v>
      </c>
      <c r="F599" s="44" t="s">
        <v>569</v>
      </c>
      <c r="G599" s="36" t="s">
        <v>163</v>
      </c>
      <c r="H599" s="36" t="s">
        <v>163</v>
      </c>
      <c r="I599" s="36" t="s">
        <v>163</v>
      </c>
      <c r="J599" s="43" t="s">
        <v>830</v>
      </c>
      <c r="K599">
        <v>681</v>
      </c>
      <c r="L599" s="43" t="s">
        <v>298</v>
      </c>
      <c r="M599" s="43" t="s">
        <v>204</v>
      </c>
      <c r="N599">
        <v>4</v>
      </c>
      <c r="O599" s="57">
        <v>42590</v>
      </c>
    </row>
    <row r="600" spans="1:15" ht="26.4" x14ac:dyDescent="0.25">
      <c r="A600" s="67" t="s">
        <v>1537</v>
      </c>
      <c r="B600" s="84">
        <v>22125616</v>
      </c>
      <c r="C600" s="46">
        <v>4570</v>
      </c>
      <c r="D600" s="43" t="s">
        <v>1538</v>
      </c>
      <c r="E600" t="s">
        <v>1539</v>
      </c>
      <c r="F600" s="44" t="s">
        <v>658</v>
      </c>
      <c r="G600" s="44" t="s">
        <v>661</v>
      </c>
      <c r="H600" s="44" t="s">
        <v>661</v>
      </c>
      <c r="I600" s="44" t="s">
        <v>661</v>
      </c>
      <c r="J600" s="43" t="s">
        <v>1540</v>
      </c>
      <c r="L600" s="43" t="s">
        <v>141</v>
      </c>
      <c r="M600" s="43" t="s">
        <v>313</v>
      </c>
      <c r="N600">
        <v>40</v>
      </c>
      <c r="O600" s="57">
        <v>42558</v>
      </c>
    </row>
    <row r="601" spans="1:15" ht="26.4" x14ac:dyDescent="0.25">
      <c r="A601" s="67" t="s">
        <v>1224</v>
      </c>
      <c r="B601" s="84">
        <v>36146287</v>
      </c>
      <c r="C601" s="46">
        <v>1300</v>
      </c>
      <c r="D601" s="77" t="s">
        <v>1541</v>
      </c>
      <c r="E601" s="54" t="s">
        <v>661</v>
      </c>
      <c r="F601" s="44" t="s">
        <v>658</v>
      </c>
      <c r="G601" s="44" t="s">
        <v>661</v>
      </c>
      <c r="H601" s="44" t="s">
        <v>658</v>
      </c>
      <c r="I601" s="36" t="s">
        <v>163</v>
      </c>
      <c r="J601" s="77" t="s">
        <v>1221</v>
      </c>
      <c r="K601">
        <v>665</v>
      </c>
      <c r="L601" s="77" t="s">
        <v>141</v>
      </c>
      <c r="M601" s="77" t="s">
        <v>269</v>
      </c>
      <c r="N601" s="74">
        <v>8</v>
      </c>
      <c r="O601" s="57">
        <v>42599</v>
      </c>
    </row>
    <row r="602" spans="1:15" ht="26.4" x14ac:dyDescent="0.25">
      <c r="A602" s="67" t="s">
        <v>1224</v>
      </c>
      <c r="B602" s="84">
        <v>36146287</v>
      </c>
      <c r="C602" s="46">
        <v>1400</v>
      </c>
      <c r="D602" s="77" t="s">
        <v>1543</v>
      </c>
      <c r="E602" s="35" t="s">
        <v>1542</v>
      </c>
      <c r="F602" s="44" t="s">
        <v>658</v>
      </c>
      <c r="G602" s="44" t="s">
        <v>661</v>
      </c>
      <c r="H602" s="44" t="s">
        <v>658</v>
      </c>
      <c r="I602" s="36" t="s">
        <v>163</v>
      </c>
      <c r="J602" s="77" t="s">
        <v>1221</v>
      </c>
      <c r="K602">
        <v>665</v>
      </c>
      <c r="L602" s="77" t="s">
        <v>141</v>
      </c>
      <c r="M602" s="77" t="s">
        <v>269</v>
      </c>
      <c r="N602" s="74">
        <v>5</v>
      </c>
      <c r="O602" s="57">
        <v>42590</v>
      </c>
    </row>
    <row r="603" spans="1:15" ht="26.4" x14ac:dyDescent="0.25">
      <c r="A603" s="41" t="s">
        <v>908</v>
      </c>
      <c r="B603" s="52">
        <v>23398053</v>
      </c>
      <c r="C603" s="46">
        <v>4500</v>
      </c>
      <c r="D603" s="43" t="s">
        <v>1544</v>
      </c>
      <c r="E603" s="35" t="s">
        <v>1545</v>
      </c>
      <c r="F603" s="44" t="s">
        <v>569</v>
      </c>
      <c r="G603" s="36" t="s">
        <v>163</v>
      </c>
      <c r="H603" s="36" t="s">
        <v>163</v>
      </c>
      <c r="I603" s="36" t="s">
        <v>163</v>
      </c>
      <c r="J603" s="43" t="s">
        <v>896</v>
      </c>
      <c r="K603">
        <v>195</v>
      </c>
      <c r="L603" s="43" t="s">
        <v>141</v>
      </c>
      <c r="M603" s="43" t="s">
        <v>313</v>
      </c>
      <c r="N603">
        <v>7</v>
      </c>
      <c r="O603" s="57">
        <v>42598</v>
      </c>
    </row>
    <row r="604" spans="1:15" ht="26.4" x14ac:dyDescent="0.25">
      <c r="A604" s="67" t="s">
        <v>1546</v>
      </c>
      <c r="B604" s="84">
        <v>14948955</v>
      </c>
      <c r="C604" s="46">
        <v>4500</v>
      </c>
      <c r="D604" s="43" t="s">
        <v>1547</v>
      </c>
      <c r="E604" s="35" t="s">
        <v>1548</v>
      </c>
      <c r="F604" s="44" t="s">
        <v>661</v>
      </c>
      <c r="G604" s="44" t="s">
        <v>661</v>
      </c>
      <c r="H604" s="44" t="s">
        <v>661</v>
      </c>
      <c r="I604" s="44" t="s">
        <v>661</v>
      </c>
      <c r="J604" s="43" t="s">
        <v>1211</v>
      </c>
      <c r="K604" s="36" t="s">
        <v>285</v>
      </c>
      <c r="L604" s="43" t="s">
        <v>723</v>
      </c>
      <c r="M604" s="43" t="s">
        <v>313</v>
      </c>
      <c r="N604">
        <v>8</v>
      </c>
      <c r="O604" s="57">
        <v>42598</v>
      </c>
    </row>
    <row r="605" spans="1:15" ht="25.95" customHeight="1" x14ac:dyDescent="0.25">
      <c r="A605" s="41" t="s">
        <v>502</v>
      </c>
      <c r="B605" s="42">
        <v>11199679</v>
      </c>
      <c r="C605" s="46">
        <v>2880</v>
      </c>
      <c r="D605" s="36" t="s">
        <v>1549</v>
      </c>
      <c r="E605" s="44" t="s">
        <v>661</v>
      </c>
      <c r="F605" s="36" t="s">
        <v>159</v>
      </c>
      <c r="G605" s="36" t="s">
        <v>163</v>
      </c>
      <c r="H605" s="36" t="s">
        <v>163</v>
      </c>
      <c r="I605" s="36" t="s">
        <v>163</v>
      </c>
      <c r="J605" s="43" t="s">
        <v>922</v>
      </c>
      <c r="K605" s="43" t="s">
        <v>143</v>
      </c>
      <c r="L605" s="43" t="s">
        <v>141</v>
      </c>
      <c r="M605" s="43" t="s">
        <v>313</v>
      </c>
      <c r="N605">
        <v>30</v>
      </c>
      <c r="O605" s="57">
        <v>42583</v>
      </c>
    </row>
    <row r="606" spans="1:15" ht="26.4" x14ac:dyDescent="0.25">
      <c r="A606" s="41" t="s">
        <v>565</v>
      </c>
      <c r="B606" s="42">
        <v>12397514</v>
      </c>
      <c r="C606" s="46">
        <v>1800</v>
      </c>
      <c r="D606" s="43" t="s">
        <v>1550</v>
      </c>
      <c r="E606" s="44" t="s">
        <v>661</v>
      </c>
      <c r="F606" s="51" t="s">
        <v>569</v>
      </c>
      <c r="G606" s="36" t="s">
        <v>163</v>
      </c>
      <c r="H606" s="36" t="s">
        <v>163</v>
      </c>
      <c r="I606" s="36" t="s">
        <v>163</v>
      </c>
      <c r="J606" s="35" t="s">
        <v>566</v>
      </c>
      <c r="K606">
        <v>92</v>
      </c>
      <c r="L606" t="s">
        <v>141</v>
      </c>
      <c r="M606" s="35" t="s">
        <v>414</v>
      </c>
      <c r="N606">
        <v>5</v>
      </c>
      <c r="O606" s="57">
        <v>42611</v>
      </c>
    </row>
    <row r="607" spans="1:15" ht="26.4" x14ac:dyDescent="0.25">
      <c r="A607" s="41" t="s">
        <v>565</v>
      </c>
      <c r="B607" s="42">
        <v>12397514</v>
      </c>
      <c r="C607" s="46">
        <v>600</v>
      </c>
      <c r="D607" s="43" t="s">
        <v>1551</v>
      </c>
      <c r="E607" s="36" t="s">
        <v>1552</v>
      </c>
      <c r="F607" s="51" t="s">
        <v>569</v>
      </c>
      <c r="G607" s="36" t="s">
        <v>163</v>
      </c>
      <c r="H607" s="36" t="s">
        <v>163</v>
      </c>
      <c r="I607" s="36" t="s">
        <v>163</v>
      </c>
      <c r="J607" s="35" t="s">
        <v>566</v>
      </c>
      <c r="K607">
        <v>92</v>
      </c>
      <c r="L607" t="s">
        <v>141</v>
      </c>
      <c r="M607" s="35" t="s">
        <v>414</v>
      </c>
      <c r="N607">
        <v>5</v>
      </c>
      <c r="O607" s="57">
        <v>42604</v>
      </c>
    </row>
    <row r="608" spans="1:15" ht="26.4" x14ac:dyDescent="0.25">
      <c r="A608" s="41" t="s">
        <v>565</v>
      </c>
      <c r="B608" s="42">
        <v>12397514</v>
      </c>
      <c r="C608" s="46">
        <v>450</v>
      </c>
      <c r="D608" s="43" t="s">
        <v>1553</v>
      </c>
      <c r="E608" s="36" t="s">
        <v>1554</v>
      </c>
      <c r="F608" s="51" t="s">
        <v>569</v>
      </c>
      <c r="G608" s="36" t="s">
        <v>163</v>
      </c>
      <c r="H608" s="36" t="s">
        <v>163</v>
      </c>
      <c r="I608" s="36" t="s">
        <v>163</v>
      </c>
      <c r="J608" s="35" t="s">
        <v>566</v>
      </c>
      <c r="K608">
        <v>92</v>
      </c>
      <c r="L608" t="s">
        <v>141</v>
      </c>
      <c r="M608" s="35" t="s">
        <v>414</v>
      </c>
      <c r="N608">
        <v>5</v>
      </c>
      <c r="O608" s="57">
        <v>42607</v>
      </c>
    </row>
    <row r="609" spans="1:15" ht="26.4" x14ac:dyDescent="0.25">
      <c r="A609" s="41" t="s">
        <v>982</v>
      </c>
      <c r="B609" s="84">
        <v>22008433</v>
      </c>
      <c r="C609" s="46">
        <v>4600</v>
      </c>
      <c r="D609" s="43" t="s">
        <v>1555</v>
      </c>
      <c r="E609" s="35" t="s">
        <v>989</v>
      </c>
      <c r="F609" s="68" t="s">
        <v>990</v>
      </c>
      <c r="G609" s="36" t="s">
        <v>163</v>
      </c>
      <c r="H609" s="36" t="s">
        <v>163</v>
      </c>
      <c r="I609" s="36" t="s">
        <v>163</v>
      </c>
      <c r="J609" s="43" t="s">
        <v>983</v>
      </c>
      <c r="L609" s="43" t="s">
        <v>141</v>
      </c>
      <c r="M609" s="43" t="s">
        <v>313</v>
      </c>
      <c r="N609">
        <v>31</v>
      </c>
      <c r="O609" s="57">
        <v>42583</v>
      </c>
    </row>
    <row r="610" spans="1:15" ht="26.4" x14ac:dyDescent="0.25">
      <c r="A610" s="41" t="s">
        <v>908</v>
      </c>
      <c r="B610" s="52">
        <v>23398053</v>
      </c>
      <c r="C610" s="46">
        <v>1200</v>
      </c>
      <c r="D610" s="43" t="s">
        <v>1556</v>
      </c>
      <c r="E610" s="53" t="s">
        <v>658</v>
      </c>
      <c r="F610" s="44" t="s">
        <v>569</v>
      </c>
      <c r="G610" s="36" t="s">
        <v>163</v>
      </c>
      <c r="H610" s="36" t="s">
        <v>163</v>
      </c>
      <c r="I610" s="36" t="s">
        <v>163</v>
      </c>
      <c r="J610" s="43" t="s">
        <v>896</v>
      </c>
      <c r="K610">
        <v>195</v>
      </c>
      <c r="L610" s="43" t="s">
        <v>141</v>
      </c>
      <c r="M610" s="43" t="s">
        <v>313</v>
      </c>
      <c r="N610">
        <v>2</v>
      </c>
      <c r="O610" s="57">
        <v>42614</v>
      </c>
    </row>
    <row r="611" spans="1:15" ht="26.4" x14ac:dyDescent="0.25">
      <c r="A611" s="67" t="s">
        <v>1224</v>
      </c>
      <c r="B611" s="84">
        <v>36146287</v>
      </c>
      <c r="C611" s="46">
        <v>1000</v>
      </c>
      <c r="D611" s="77" t="s">
        <v>1557</v>
      </c>
      <c r="E611" s="53" t="s">
        <v>658</v>
      </c>
      <c r="F611" s="44" t="s">
        <v>658</v>
      </c>
      <c r="G611" s="44" t="s">
        <v>661</v>
      </c>
      <c r="H611" s="44" t="s">
        <v>658</v>
      </c>
      <c r="I611" s="36" t="s">
        <v>163</v>
      </c>
      <c r="J611" s="77" t="s">
        <v>1221</v>
      </c>
      <c r="K611">
        <v>665</v>
      </c>
      <c r="L611" s="77" t="s">
        <v>141</v>
      </c>
      <c r="M611" s="77" t="s">
        <v>269</v>
      </c>
      <c r="N611" s="74">
        <v>1</v>
      </c>
      <c r="O611" s="57">
        <v>42615</v>
      </c>
    </row>
    <row r="612" spans="1:15" ht="27" x14ac:dyDescent="0.3">
      <c r="A612" s="35" t="s">
        <v>1003</v>
      </c>
      <c r="B612" s="86">
        <v>93940424</v>
      </c>
      <c r="C612" s="46">
        <v>9600</v>
      </c>
      <c r="D612" s="43" t="s">
        <v>1558</v>
      </c>
      <c r="E612" s="35" t="s">
        <v>1007</v>
      </c>
      <c r="F612" s="35" t="s">
        <v>1008</v>
      </c>
      <c r="G612" s="36" t="s">
        <v>163</v>
      </c>
      <c r="H612" s="36" t="s">
        <v>163</v>
      </c>
      <c r="I612" s="36" t="s">
        <v>163</v>
      </c>
      <c r="J612" s="43" t="s">
        <v>1004</v>
      </c>
      <c r="L612" s="43" t="s">
        <v>1005</v>
      </c>
      <c r="M612" s="43" t="s">
        <v>313</v>
      </c>
      <c r="N612">
        <v>2</v>
      </c>
      <c r="O612" s="57">
        <v>42614</v>
      </c>
    </row>
    <row r="613" spans="1:15" ht="26.4" x14ac:dyDescent="0.25">
      <c r="A613" s="41" t="s">
        <v>1384</v>
      </c>
      <c r="B613" s="52">
        <v>31990359</v>
      </c>
      <c r="C613" s="46">
        <v>4000</v>
      </c>
      <c r="D613" s="43" t="s">
        <v>1559</v>
      </c>
      <c r="E613" s="35" t="s">
        <v>1560</v>
      </c>
      <c r="F613" s="44" t="s">
        <v>569</v>
      </c>
      <c r="G613" s="36" t="s">
        <v>163</v>
      </c>
      <c r="H613" s="36" t="s">
        <v>163</v>
      </c>
      <c r="I613" s="36" t="s">
        <v>163</v>
      </c>
      <c r="J613" s="43" t="s">
        <v>970</v>
      </c>
      <c r="K613" s="35" t="s">
        <v>285</v>
      </c>
      <c r="L613" s="43" t="s">
        <v>723</v>
      </c>
      <c r="M613" s="43" t="s">
        <v>313</v>
      </c>
      <c r="N613">
        <v>8</v>
      </c>
      <c r="O613" s="57">
        <v>42614</v>
      </c>
    </row>
    <row r="614" spans="1:15" ht="26.4" x14ac:dyDescent="0.25">
      <c r="A614" s="67" t="s">
        <v>1354</v>
      </c>
      <c r="B614" s="84">
        <v>6698429</v>
      </c>
      <c r="C614" s="46">
        <v>166040</v>
      </c>
      <c r="D614" s="77" t="s">
        <v>1562</v>
      </c>
      <c r="E614" s="35" t="s">
        <v>1561</v>
      </c>
      <c r="F614" s="54" t="s">
        <v>569</v>
      </c>
      <c r="G614" s="36" t="s">
        <v>163</v>
      </c>
      <c r="H614" s="36" t="s">
        <v>163</v>
      </c>
      <c r="I614" s="36" t="s">
        <v>163</v>
      </c>
      <c r="J614" s="77" t="s">
        <v>1357</v>
      </c>
      <c r="K614" t="s">
        <v>1150</v>
      </c>
      <c r="L614" s="77" t="s">
        <v>1358</v>
      </c>
      <c r="M614" s="77" t="s">
        <v>269</v>
      </c>
      <c r="N614" s="74">
        <v>80</v>
      </c>
      <c r="O614" s="57">
        <v>42625</v>
      </c>
    </row>
    <row r="615" spans="1:15" ht="26.4" x14ac:dyDescent="0.25">
      <c r="A615" s="34" t="s">
        <v>280</v>
      </c>
      <c r="B615" s="18">
        <v>17764523</v>
      </c>
      <c r="C615" s="37">
        <v>4000</v>
      </c>
      <c r="D615" s="36" t="s">
        <v>1563</v>
      </c>
      <c r="E615" s="44" t="s">
        <v>1564</v>
      </c>
      <c r="F615" s="44" t="s">
        <v>1518</v>
      </c>
      <c r="G615" s="36" t="s">
        <v>163</v>
      </c>
      <c r="H615" s="36" t="s">
        <v>163</v>
      </c>
      <c r="I615" s="36" t="s">
        <v>163</v>
      </c>
      <c r="J615" s="35" t="s">
        <v>284</v>
      </c>
      <c r="K615" s="35" t="s">
        <v>285</v>
      </c>
      <c r="L615" t="s">
        <v>194</v>
      </c>
      <c r="M615" s="35" t="s">
        <v>158</v>
      </c>
      <c r="N615">
        <v>1</v>
      </c>
      <c r="O615" s="57">
        <v>42623</v>
      </c>
    </row>
    <row r="616" spans="1:15" ht="26.4" x14ac:dyDescent="0.25">
      <c r="A616" s="41" t="s">
        <v>1384</v>
      </c>
      <c r="B616" s="52">
        <v>31990359</v>
      </c>
      <c r="C616" s="46">
        <v>650</v>
      </c>
      <c r="D616" s="43" t="s">
        <v>1565</v>
      </c>
      <c r="E616" s="53" t="s">
        <v>661</v>
      </c>
      <c r="F616" s="44" t="s">
        <v>569</v>
      </c>
      <c r="G616" s="36" t="s">
        <v>163</v>
      </c>
      <c r="H616" s="36" t="s">
        <v>163</v>
      </c>
      <c r="I616" s="36" t="s">
        <v>163</v>
      </c>
      <c r="J616" s="43" t="s">
        <v>970</v>
      </c>
      <c r="K616" s="35" t="s">
        <v>285</v>
      </c>
      <c r="L616" s="43" t="s">
        <v>723</v>
      </c>
      <c r="M616" s="43" t="s">
        <v>313</v>
      </c>
      <c r="N616">
        <v>10</v>
      </c>
      <c r="O616" s="57">
        <v>42618</v>
      </c>
    </row>
    <row r="617" spans="1:15" ht="26.4" x14ac:dyDescent="0.25">
      <c r="A617" s="41" t="s">
        <v>565</v>
      </c>
      <c r="B617" s="42">
        <v>12397514</v>
      </c>
      <c r="C617" s="46">
        <v>2500</v>
      </c>
      <c r="D617" s="43" t="s">
        <v>1567</v>
      </c>
      <c r="E617" s="36" t="s">
        <v>1568</v>
      </c>
      <c r="F617" s="51" t="s">
        <v>1566</v>
      </c>
      <c r="G617" s="36" t="s">
        <v>163</v>
      </c>
      <c r="H617" s="36" t="s">
        <v>163</v>
      </c>
      <c r="I617" s="36" t="s">
        <v>163</v>
      </c>
      <c r="J617" s="35" t="s">
        <v>566</v>
      </c>
      <c r="K617">
        <v>92</v>
      </c>
      <c r="L617" t="s">
        <v>141</v>
      </c>
      <c r="M617" s="35" t="s">
        <v>414</v>
      </c>
      <c r="N617">
        <v>10</v>
      </c>
      <c r="O617" s="57">
        <v>42618</v>
      </c>
    </row>
    <row r="618" spans="1:15" ht="26.4" x14ac:dyDescent="0.25">
      <c r="A618" s="67" t="s">
        <v>1546</v>
      </c>
      <c r="B618" s="84">
        <v>14948955</v>
      </c>
      <c r="C618" s="46">
        <v>7500</v>
      </c>
      <c r="D618" s="43" t="s">
        <v>1569</v>
      </c>
      <c r="E618" s="35" t="s">
        <v>1548</v>
      </c>
      <c r="F618" s="44" t="s">
        <v>661</v>
      </c>
      <c r="G618" s="44" t="s">
        <v>661</v>
      </c>
      <c r="H618" s="44" t="s">
        <v>661</v>
      </c>
      <c r="I618" s="44" t="s">
        <v>661</v>
      </c>
      <c r="J618" s="43" t="s">
        <v>1211</v>
      </c>
      <c r="K618" s="36" t="s">
        <v>285</v>
      </c>
      <c r="L618" s="43" t="s">
        <v>723</v>
      </c>
      <c r="M618" s="43" t="s">
        <v>313</v>
      </c>
      <c r="N618">
        <v>10</v>
      </c>
      <c r="O618" s="57">
        <v>42628</v>
      </c>
    </row>
    <row r="619" spans="1:15" ht="26.4" x14ac:dyDescent="0.25">
      <c r="A619" s="41" t="s">
        <v>1068</v>
      </c>
      <c r="B619" s="84">
        <v>33017391</v>
      </c>
      <c r="C619" s="46">
        <v>2000</v>
      </c>
      <c r="D619" s="43" t="s">
        <v>1570</v>
      </c>
      <c r="E619" s="35" t="s">
        <v>1571</v>
      </c>
      <c r="F619" s="44" t="s">
        <v>661</v>
      </c>
      <c r="G619" s="36" t="s">
        <v>163</v>
      </c>
      <c r="H619" s="36" t="s">
        <v>163</v>
      </c>
      <c r="I619" s="36" t="s">
        <v>163</v>
      </c>
      <c r="J619" s="43" t="s">
        <v>878</v>
      </c>
      <c r="K619" s="43" t="s">
        <v>285</v>
      </c>
      <c r="L619" s="43" t="s">
        <v>782</v>
      </c>
      <c r="M619" s="43" t="s">
        <v>313</v>
      </c>
      <c r="N619">
        <v>30</v>
      </c>
      <c r="O619" s="57">
        <v>42617</v>
      </c>
    </row>
    <row r="620" spans="1:15" ht="25.95" customHeight="1" x14ac:dyDescent="0.25">
      <c r="A620" s="41" t="s">
        <v>502</v>
      </c>
      <c r="B620" s="42">
        <v>11199679</v>
      </c>
      <c r="C620" s="46">
        <v>2640</v>
      </c>
      <c r="D620" s="36" t="s">
        <v>1572</v>
      </c>
      <c r="E620" s="36" t="e">
        <f>------------------------------------------------------------------------------------------------------------------------F620</f>
        <v>#VALUE!</v>
      </c>
      <c r="F620" s="36" t="s">
        <v>159</v>
      </c>
      <c r="G620" s="36" t="s">
        <v>163</v>
      </c>
      <c r="H620" s="36" t="s">
        <v>163</v>
      </c>
      <c r="I620" s="36" t="s">
        <v>163</v>
      </c>
      <c r="J620" s="43" t="s">
        <v>418</v>
      </c>
      <c r="K620" s="43" t="s">
        <v>143</v>
      </c>
      <c r="L620" s="43" t="s">
        <v>141</v>
      </c>
      <c r="M620" s="43" t="s">
        <v>313</v>
      </c>
      <c r="N620">
        <v>30</v>
      </c>
      <c r="O620" s="57">
        <v>42614</v>
      </c>
    </row>
    <row r="621" spans="1:15" ht="26.4" x14ac:dyDescent="0.25">
      <c r="A621" s="41" t="s">
        <v>982</v>
      </c>
      <c r="B621" s="84">
        <v>22008433</v>
      </c>
      <c r="C621" s="46">
        <v>3480</v>
      </c>
      <c r="D621" s="43" t="s">
        <v>1573</v>
      </c>
      <c r="E621" s="35" t="s">
        <v>989</v>
      </c>
      <c r="F621" s="68" t="s">
        <v>990</v>
      </c>
      <c r="G621" s="36" t="s">
        <v>163</v>
      </c>
      <c r="H621" s="36" t="s">
        <v>163</v>
      </c>
      <c r="I621" s="36" t="s">
        <v>163</v>
      </c>
      <c r="J621" s="43" t="s">
        <v>983</v>
      </c>
      <c r="L621" s="43" t="s">
        <v>141</v>
      </c>
      <c r="M621" s="43" t="s">
        <v>313</v>
      </c>
      <c r="N621">
        <v>30</v>
      </c>
      <c r="O621" s="57">
        <v>42614</v>
      </c>
    </row>
    <row r="622" spans="1:15" ht="26.4" x14ac:dyDescent="0.25">
      <c r="A622" s="67" t="s">
        <v>1574</v>
      </c>
      <c r="B622" s="84">
        <v>27897741</v>
      </c>
      <c r="C622" s="46">
        <v>7500</v>
      </c>
      <c r="D622" s="43" t="s">
        <v>1575</v>
      </c>
      <c r="E622" s="53" t="s">
        <v>661</v>
      </c>
      <c r="F622" s="54" t="s">
        <v>658</v>
      </c>
      <c r="G622" s="44" t="s">
        <v>661</v>
      </c>
      <c r="H622" s="44" t="s">
        <v>658</v>
      </c>
      <c r="I622" s="44" t="s">
        <v>658</v>
      </c>
      <c r="J622" s="43" t="s">
        <v>818</v>
      </c>
      <c r="K622">
        <v>2545</v>
      </c>
      <c r="L622" s="43" t="s">
        <v>974</v>
      </c>
      <c r="M622" s="43" t="s">
        <v>269</v>
      </c>
      <c r="N622">
        <v>30</v>
      </c>
      <c r="O622" s="57">
        <v>42614</v>
      </c>
    </row>
    <row r="623" spans="1:15" ht="26.4" x14ac:dyDescent="0.25">
      <c r="A623" s="67" t="s">
        <v>1184</v>
      </c>
      <c r="B623" s="89">
        <v>18644221</v>
      </c>
      <c r="C623" s="46">
        <v>8000</v>
      </c>
      <c r="D623" s="77" t="s">
        <v>1576</v>
      </c>
      <c r="E623" s="54" t="s">
        <v>593</v>
      </c>
      <c r="F623" s="79" t="s">
        <v>569</v>
      </c>
      <c r="G623" s="36" t="s">
        <v>163</v>
      </c>
      <c r="H623" s="36" t="s">
        <v>163</v>
      </c>
      <c r="I623" s="36" t="s">
        <v>163</v>
      </c>
      <c r="J623" s="77" t="s">
        <v>931</v>
      </c>
      <c r="K623">
        <v>325</v>
      </c>
      <c r="L623" s="77" t="s">
        <v>141</v>
      </c>
      <c r="M623" s="77" t="s">
        <v>269</v>
      </c>
      <c r="N623" s="74">
        <v>20</v>
      </c>
      <c r="O623" s="57">
        <v>42633</v>
      </c>
    </row>
    <row r="624" spans="1:15" ht="26.4" x14ac:dyDescent="0.25">
      <c r="A624" s="41" t="s">
        <v>1383</v>
      </c>
      <c r="B624" s="52">
        <v>18105934</v>
      </c>
      <c r="C624" s="46">
        <v>15000</v>
      </c>
      <c r="D624" s="43" t="s">
        <v>1577</v>
      </c>
      <c r="E624" s="35" t="s">
        <v>1578</v>
      </c>
      <c r="F624" s="44" t="s">
        <v>661</v>
      </c>
      <c r="G624" s="36" t="s">
        <v>163</v>
      </c>
      <c r="H624" s="36" t="s">
        <v>163</v>
      </c>
      <c r="I624" s="36" t="s">
        <v>163</v>
      </c>
      <c r="J624" s="43" t="s">
        <v>929</v>
      </c>
      <c r="K624" s="35" t="s">
        <v>285</v>
      </c>
      <c r="L624" s="43" t="s">
        <v>378</v>
      </c>
      <c r="M624" s="43" t="s">
        <v>313</v>
      </c>
      <c r="N624">
        <v>10</v>
      </c>
      <c r="O624" s="57">
        <v>42660</v>
      </c>
    </row>
    <row r="625" spans="1:16" ht="26.4" x14ac:dyDescent="0.25">
      <c r="A625" s="67" t="s">
        <v>1581</v>
      </c>
      <c r="B625" s="84">
        <v>7079140</v>
      </c>
      <c r="C625" s="46">
        <v>10000</v>
      </c>
      <c r="D625" s="43" t="s">
        <v>1579</v>
      </c>
      <c r="E625" s="54" t="s">
        <v>661</v>
      </c>
      <c r="F625" s="54" t="s">
        <v>661</v>
      </c>
      <c r="G625" s="44" t="s">
        <v>661</v>
      </c>
      <c r="H625" s="44" t="s">
        <v>658</v>
      </c>
      <c r="I625" s="44" t="s">
        <v>661</v>
      </c>
      <c r="J625" s="43" t="s">
        <v>1580</v>
      </c>
      <c r="K625">
        <v>359</v>
      </c>
      <c r="L625" s="43" t="s">
        <v>269</v>
      </c>
      <c r="M625" s="43" t="s">
        <v>269</v>
      </c>
      <c r="N625">
        <v>10</v>
      </c>
      <c r="O625" s="57">
        <v>42656</v>
      </c>
    </row>
    <row r="626" spans="1:16" ht="26.4" x14ac:dyDescent="0.25">
      <c r="A626" s="67" t="s">
        <v>1574</v>
      </c>
      <c r="B626" s="84">
        <v>27897741</v>
      </c>
      <c r="C626" s="46">
        <v>15000</v>
      </c>
      <c r="D626" s="43" t="s">
        <v>1582</v>
      </c>
      <c r="E626" s="54" t="s">
        <v>661</v>
      </c>
      <c r="F626" s="54" t="s">
        <v>661</v>
      </c>
      <c r="G626" s="44" t="s">
        <v>661</v>
      </c>
      <c r="H626" s="44" t="s">
        <v>661</v>
      </c>
      <c r="I626" s="44" t="s">
        <v>661</v>
      </c>
      <c r="J626" s="43" t="s">
        <v>818</v>
      </c>
      <c r="K626">
        <v>2545</v>
      </c>
      <c r="L626" s="43" t="s">
        <v>974</v>
      </c>
      <c r="M626" s="43" t="s">
        <v>269</v>
      </c>
      <c r="N626">
        <v>60</v>
      </c>
      <c r="O626" s="57">
        <v>42660</v>
      </c>
    </row>
    <row r="627" spans="1:16" ht="26.4" x14ac:dyDescent="0.25">
      <c r="A627" s="41" t="s">
        <v>565</v>
      </c>
      <c r="B627" s="42">
        <v>12397514</v>
      </c>
      <c r="C627" s="46">
        <v>800</v>
      </c>
      <c r="D627" s="43" t="s">
        <v>1583</v>
      </c>
      <c r="E627" s="44" t="s">
        <v>661</v>
      </c>
      <c r="F627" s="51" t="s">
        <v>661</v>
      </c>
      <c r="G627" s="36" t="s">
        <v>163</v>
      </c>
      <c r="H627" s="36" t="s">
        <v>163</v>
      </c>
      <c r="I627" s="36" t="s">
        <v>163</v>
      </c>
      <c r="J627" s="35" t="s">
        <v>566</v>
      </c>
      <c r="K627">
        <v>92</v>
      </c>
      <c r="L627" t="s">
        <v>141</v>
      </c>
      <c r="M627" s="35" t="s">
        <v>414</v>
      </c>
      <c r="N627">
        <v>3</v>
      </c>
      <c r="O627" s="57">
        <v>42684</v>
      </c>
    </row>
    <row r="628" spans="1:16" ht="26.4" x14ac:dyDescent="0.25">
      <c r="A628" s="67" t="s">
        <v>1472</v>
      </c>
      <c r="B628" s="84">
        <v>22052559</v>
      </c>
      <c r="C628" s="46">
        <v>1380</v>
      </c>
      <c r="D628" s="43" t="s">
        <v>1654</v>
      </c>
      <c r="E628" s="54" t="s">
        <v>661</v>
      </c>
      <c r="F628" s="54" t="s">
        <v>661</v>
      </c>
      <c r="G628" s="44" t="s">
        <v>661</v>
      </c>
      <c r="H628" s="44" t="s">
        <v>661</v>
      </c>
      <c r="I628" s="44" t="s">
        <v>661</v>
      </c>
      <c r="J628" s="43" t="s">
        <v>1474</v>
      </c>
      <c r="K628" s="36" t="s">
        <v>285</v>
      </c>
      <c r="L628" s="43" t="s">
        <v>141</v>
      </c>
      <c r="M628" s="43" t="s">
        <v>313</v>
      </c>
      <c r="N628">
        <v>30</v>
      </c>
      <c r="O628" s="57">
        <v>42644</v>
      </c>
      <c r="P628" t="s">
        <v>1475</v>
      </c>
    </row>
    <row r="629" spans="1:16" ht="26.4" x14ac:dyDescent="0.25">
      <c r="A629" s="67" t="s">
        <v>1584</v>
      </c>
      <c r="B629" s="84">
        <v>23084310</v>
      </c>
      <c r="C629" s="46">
        <v>30000</v>
      </c>
      <c r="D629" s="43" t="s">
        <v>1585</v>
      </c>
      <c r="E629" s="54" t="s">
        <v>661</v>
      </c>
      <c r="F629" s="54" t="s">
        <v>661</v>
      </c>
      <c r="G629" s="44" t="s">
        <v>661</v>
      </c>
      <c r="H629" s="44" t="s">
        <v>661</v>
      </c>
      <c r="I629" s="44" t="s">
        <v>661</v>
      </c>
      <c r="J629" s="43" t="s">
        <v>368</v>
      </c>
      <c r="K629">
        <v>29</v>
      </c>
      <c r="L629" s="43" t="s">
        <v>974</v>
      </c>
      <c r="M629" s="43" t="s">
        <v>313</v>
      </c>
      <c r="N629">
        <v>30</v>
      </c>
      <c r="O629" s="57">
        <v>42681</v>
      </c>
    </row>
    <row r="630" spans="1:16" ht="26.4" x14ac:dyDescent="0.25">
      <c r="A630" s="67" t="s">
        <v>1586</v>
      </c>
      <c r="B630" s="84">
        <v>30045205</v>
      </c>
      <c r="C630" s="46">
        <v>2650</v>
      </c>
      <c r="D630" s="43" t="s">
        <v>1587</v>
      </c>
      <c r="E630" s="54" t="s">
        <v>661</v>
      </c>
      <c r="F630" s="54" t="s">
        <v>661</v>
      </c>
      <c r="G630" s="44" t="s">
        <v>661</v>
      </c>
      <c r="H630" s="44" t="s">
        <v>661</v>
      </c>
      <c r="I630" s="44" t="s">
        <v>661</v>
      </c>
      <c r="J630" s="43" t="s">
        <v>1166</v>
      </c>
      <c r="K630">
        <v>208</v>
      </c>
      <c r="L630" s="43" t="s">
        <v>141</v>
      </c>
      <c r="M630" s="43" t="s">
        <v>269</v>
      </c>
      <c r="N630">
        <v>1</v>
      </c>
      <c r="O630" s="57">
        <v>42691</v>
      </c>
    </row>
    <row r="631" spans="1:16" ht="26.4" x14ac:dyDescent="0.25">
      <c r="A631" s="41" t="s">
        <v>908</v>
      </c>
      <c r="B631" s="52">
        <v>23398053</v>
      </c>
      <c r="C631" s="46">
        <v>1500</v>
      </c>
      <c r="D631" s="43" t="s">
        <v>1588</v>
      </c>
      <c r="E631" s="53" t="s">
        <v>658</v>
      </c>
      <c r="F631" s="44" t="s">
        <v>569</v>
      </c>
      <c r="G631" s="36" t="s">
        <v>163</v>
      </c>
      <c r="H631" s="36" t="s">
        <v>163</v>
      </c>
      <c r="I631" s="36" t="s">
        <v>163</v>
      </c>
      <c r="J631" s="43" t="s">
        <v>896</v>
      </c>
      <c r="K631">
        <v>195</v>
      </c>
      <c r="L631" s="43" t="s">
        <v>141</v>
      </c>
      <c r="M631" s="43" t="s">
        <v>313</v>
      </c>
      <c r="N631">
        <v>3</v>
      </c>
      <c r="O631" s="57">
        <v>42688</v>
      </c>
    </row>
    <row r="632" spans="1:16" ht="26.4" x14ac:dyDescent="0.25">
      <c r="A632" s="67" t="s">
        <v>1589</v>
      </c>
      <c r="B632" s="84">
        <v>8307410</v>
      </c>
      <c r="C632" s="46">
        <v>9500</v>
      </c>
      <c r="D632" s="43" t="s">
        <v>1590</v>
      </c>
      <c r="E632" s="53" t="s">
        <v>661</v>
      </c>
      <c r="F632" s="54" t="s">
        <v>661</v>
      </c>
      <c r="G632" s="44" t="s">
        <v>661</v>
      </c>
      <c r="H632" s="44" t="s">
        <v>661</v>
      </c>
      <c r="I632" s="44" t="s">
        <v>661</v>
      </c>
      <c r="J632" s="43" t="s">
        <v>1592</v>
      </c>
      <c r="K632" s="36" t="s">
        <v>1150</v>
      </c>
      <c r="L632" s="43" t="s">
        <v>1591</v>
      </c>
      <c r="M632" s="43" t="s">
        <v>204</v>
      </c>
      <c r="N632">
        <v>5</v>
      </c>
      <c r="O632" s="57">
        <v>42681</v>
      </c>
    </row>
    <row r="633" spans="1:16" ht="26.4" x14ac:dyDescent="0.25">
      <c r="A633" s="67" t="s">
        <v>1593</v>
      </c>
      <c r="B633" s="84">
        <v>25362787</v>
      </c>
      <c r="C633" s="46">
        <v>2500</v>
      </c>
      <c r="D633" s="43" t="s">
        <v>1594</v>
      </c>
      <c r="E633" s="53" t="s">
        <v>661</v>
      </c>
      <c r="F633" s="54" t="s">
        <v>661</v>
      </c>
      <c r="G633" s="44" t="s">
        <v>661</v>
      </c>
      <c r="H633" s="44" t="s">
        <v>661</v>
      </c>
      <c r="I633" s="44" t="s">
        <v>661</v>
      </c>
      <c r="J633" s="43" t="s">
        <v>1595</v>
      </c>
      <c r="K633" s="36" t="s">
        <v>1150</v>
      </c>
      <c r="L633" s="43" t="s">
        <v>141</v>
      </c>
      <c r="M633" s="43" t="s">
        <v>269</v>
      </c>
      <c r="N633">
        <v>9</v>
      </c>
      <c r="O633" s="57">
        <v>42696</v>
      </c>
    </row>
    <row r="634" spans="1:16" ht="13.95" customHeight="1" x14ac:dyDescent="0.25">
      <c r="A634" s="41" t="s">
        <v>1405</v>
      </c>
      <c r="B634" s="42">
        <v>18566398</v>
      </c>
      <c r="C634" s="46">
        <v>5320</v>
      </c>
      <c r="D634" s="36" t="s">
        <v>1596</v>
      </c>
      <c r="E634" s="36" t="s">
        <v>1597</v>
      </c>
      <c r="F634" s="44" t="s">
        <v>569</v>
      </c>
      <c r="G634" s="36" t="s">
        <v>163</v>
      </c>
      <c r="H634" s="36" t="s">
        <v>163</v>
      </c>
      <c r="I634" s="36" t="s">
        <v>163</v>
      </c>
      <c r="J634" s="43" t="s">
        <v>627</v>
      </c>
      <c r="K634">
        <v>196</v>
      </c>
      <c r="L634" s="43" t="s">
        <v>141</v>
      </c>
      <c r="M634" s="43" t="s">
        <v>313</v>
      </c>
      <c r="N634">
        <v>10</v>
      </c>
      <c r="O634" s="57">
        <v>42688</v>
      </c>
    </row>
    <row r="635" spans="1:16" ht="26.4" x14ac:dyDescent="0.25">
      <c r="A635" s="67" t="s">
        <v>1600</v>
      </c>
      <c r="B635" s="84">
        <v>14948071</v>
      </c>
      <c r="C635" s="46">
        <v>3000</v>
      </c>
      <c r="D635" s="36" t="s">
        <v>1598</v>
      </c>
      <c r="E635" s="35" t="s">
        <v>1599</v>
      </c>
      <c r="F635" s="54" t="s">
        <v>1518</v>
      </c>
      <c r="G635" s="44" t="s">
        <v>1518</v>
      </c>
      <c r="H635" s="44" t="s">
        <v>1518</v>
      </c>
      <c r="I635" s="44" t="s">
        <v>1518</v>
      </c>
      <c r="J635" s="43" t="s">
        <v>864</v>
      </c>
      <c r="K635" s="36" t="s">
        <v>143</v>
      </c>
      <c r="L635" s="43" t="s">
        <v>852</v>
      </c>
      <c r="M635" s="43" t="s">
        <v>269</v>
      </c>
      <c r="N635">
        <v>1</v>
      </c>
      <c r="O635" s="57">
        <v>42693</v>
      </c>
    </row>
    <row r="636" spans="1:16" ht="26.4" x14ac:dyDescent="0.25">
      <c r="A636" s="67" t="s">
        <v>1224</v>
      </c>
      <c r="B636" s="84">
        <v>36146287</v>
      </c>
      <c r="C636" s="46">
        <v>800</v>
      </c>
      <c r="D636" s="77" t="s">
        <v>1604</v>
      </c>
      <c r="E636" t="s">
        <v>1603</v>
      </c>
      <c r="F636" s="53" t="s">
        <v>661</v>
      </c>
      <c r="G636" s="36" t="s">
        <v>163</v>
      </c>
      <c r="H636" s="36" t="s">
        <v>163</v>
      </c>
      <c r="I636" s="36" t="s">
        <v>163</v>
      </c>
      <c r="J636" s="77" t="s">
        <v>1221</v>
      </c>
      <c r="K636">
        <v>665</v>
      </c>
      <c r="L636" s="77" t="s">
        <v>141</v>
      </c>
      <c r="M636" s="77" t="s">
        <v>269</v>
      </c>
      <c r="N636" s="74">
        <v>2</v>
      </c>
      <c r="O636" s="57">
        <v>42688</v>
      </c>
    </row>
    <row r="637" spans="1:16" ht="26.4" x14ac:dyDescent="0.25">
      <c r="A637" s="67" t="s">
        <v>1224</v>
      </c>
      <c r="B637" s="84">
        <v>36146287</v>
      </c>
      <c r="C637" s="46">
        <v>300</v>
      </c>
      <c r="D637" s="77" t="s">
        <v>1601</v>
      </c>
      <c r="E637" s="35" t="s">
        <v>1602</v>
      </c>
      <c r="F637" s="53" t="s">
        <v>661</v>
      </c>
      <c r="G637" s="36" t="s">
        <v>163</v>
      </c>
      <c r="H637" s="36" t="s">
        <v>163</v>
      </c>
      <c r="I637" s="36" t="s">
        <v>163</v>
      </c>
      <c r="J637" s="77" t="s">
        <v>1221</v>
      </c>
      <c r="K637">
        <v>665</v>
      </c>
      <c r="L637" s="77" t="s">
        <v>141</v>
      </c>
      <c r="M637" s="77" t="s">
        <v>269</v>
      </c>
      <c r="N637" s="74">
        <v>1</v>
      </c>
      <c r="O637" s="57">
        <v>42689</v>
      </c>
    </row>
    <row r="638" spans="1:16" ht="26.4" x14ac:dyDescent="0.25">
      <c r="A638" s="67" t="s">
        <v>1224</v>
      </c>
      <c r="B638" s="84">
        <v>36146287</v>
      </c>
      <c r="C638" s="46">
        <v>1000</v>
      </c>
      <c r="D638" s="77" t="s">
        <v>1605</v>
      </c>
      <c r="E638" s="54" t="s">
        <v>661</v>
      </c>
      <c r="F638" s="53" t="s">
        <v>661</v>
      </c>
      <c r="G638" s="36" t="s">
        <v>163</v>
      </c>
      <c r="H638" s="36" t="s">
        <v>163</v>
      </c>
      <c r="I638" s="36" t="s">
        <v>163</v>
      </c>
      <c r="J638" s="77" t="s">
        <v>1221</v>
      </c>
      <c r="K638">
        <v>665</v>
      </c>
      <c r="L638" s="77" t="s">
        <v>141</v>
      </c>
      <c r="M638" s="77" t="s">
        <v>269</v>
      </c>
      <c r="N638" s="74">
        <v>2</v>
      </c>
      <c r="O638" s="57">
        <v>42690</v>
      </c>
    </row>
    <row r="639" spans="1:16" ht="26.4" x14ac:dyDescent="0.25">
      <c r="A639" s="67" t="s">
        <v>1037</v>
      </c>
      <c r="B639" s="84">
        <v>32157709</v>
      </c>
      <c r="C639" s="46">
        <v>800</v>
      </c>
      <c r="D639" s="43" t="s">
        <v>1606</v>
      </c>
      <c r="E639" s="35" t="s">
        <v>1607</v>
      </c>
      <c r="F639" s="35" t="s">
        <v>990</v>
      </c>
      <c r="G639" s="36" t="s">
        <v>163</v>
      </c>
      <c r="H639" s="36" t="s">
        <v>163</v>
      </c>
      <c r="I639" s="36" t="s">
        <v>163</v>
      </c>
      <c r="J639" s="43" t="s">
        <v>1038</v>
      </c>
      <c r="L639" s="43" t="s">
        <v>141</v>
      </c>
      <c r="M639" s="43" t="s">
        <v>313</v>
      </c>
      <c r="N639">
        <v>3</v>
      </c>
      <c r="O639" s="69">
        <v>42699</v>
      </c>
    </row>
    <row r="640" spans="1:16" ht="26.4" x14ac:dyDescent="0.25">
      <c r="A640" s="41" t="s">
        <v>885</v>
      </c>
      <c r="B640" s="52">
        <v>22104090</v>
      </c>
      <c r="C640" s="46">
        <v>14400</v>
      </c>
      <c r="D640" s="43" t="s">
        <v>1608</v>
      </c>
      <c r="E640" s="35" t="s">
        <v>1459</v>
      </c>
      <c r="F640" s="44" t="s">
        <v>371</v>
      </c>
      <c r="G640" s="36" t="s">
        <v>163</v>
      </c>
      <c r="H640" s="36" t="s">
        <v>163</v>
      </c>
      <c r="I640" s="36" t="s">
        <v>163</v>
      </c>
      <c r="J640" s="43" t="s">
        <v>886</v>
      </c>
      <c r="K640" t="s">
        <v>285</v>
      </c>
      <c r="L640" s="43" t="s">
        <v>141</v>
      </c>
      <c r="M640" s="43" t="s">
        <v>313</v>
      </c>
      <c r="N640">
        <v>10</v>
      </c>
      <c r="O640" s="57">
        <v>42692</v>
      </c>
    </row>
    <row r="641" spans="1:15" ht="26.4" x14ac:dyDescent="0.25">
      <c r="A641" s="41" t="s">
        <v>908</v>
      </c>
      <c r="B641" s="52">
        <v>23398053</v>
      </c>
      <c r="C641" s="46">
        <v>2300</v>
      </c>
      <c r="D641" s="43" t="s">
        <v>1609</v>
      </c>
      <c r="E641" s="35" t="s">
        <v>1610</v>
      </c>
      <c r="F641" s="44" t="s">
        <v>569</v>
      </c>
      <c r="G641" s="36" t="s">
        <v>163</v>
      </c>
      <c r="H641" s="36" t="s">
        <v>163</v>
      </c>
      <c r="I641" s="36" t="s">
        <v>163</v>
      </c>
      <c r="J641" s="43" t="s">
        <v>896</v>
      </c>
      <c r="K641">
        <v>195</v>
      </c>
      <c r="L641" s="43" t="s">
        <v>141</v>
      </c>
      <c r="M641" s="43" t="s">
        <v>313</v>
      </c>
      <c r="N641">
        <v>4</v>
      </c>
      <c r="O641" s="57">
        <v>42695</v>
      </c>
    </row>
    <row r="642" spans="1:15" ht="26.4" x14ac:dyDescent="0.25">
      <c r="A642" s="67" t="s">
        <v>1537</v>
      </c>
      <c r="B642" s="84">
        <v>22125616</v>
      </c>
      <c r="C642" s="46">
        <v>1792</v>
      </c>
      <c r="D642" s="43" t="s">
        <v>1611</v>
      </c>
      <c r="E642" t="s">
        <v>1612</v>
      </c>
      <c r="F642" s="44" t="s">
        <v>658</v>
      </c>
      <c r="G642" s="44" t="s">
        <v>661</v>
      </c>
      <c r="H642" s="44" t="s">
        <v>661</v>
      </c>
      <c r="I642" s="44" t="s">
        <v>661</v>
      </c>
      <c r="J642" s="43" t="s">
        <v>1540</v>
      </c>
      <c r="L642" s="43" t="s">
        <v>141</v>
      </c>
      <c r="M642" s="43" t="s">
        <v>313</v>
      </c>
      <c r="N642">
        <v>2</v>
      </c>
      <c r="O642" s="57">
        <v>42691</v>
      </c>
    </row>
    <row r="643" spans="1:15" ht="25.95" customHeight="1" x14ac:dyDescent="0.25">
      <c r="A643" s="41" t="s">
        <v>502</v>
      </c>
      <c r="B643" s="42">
        <v>11199679</v>
      </c>
      <c r="C643" s="46">
        <v>5300</v>
      </c>
      <c r="D643" s="36" t="s">
        <v>1613</v>
      </c>
      <c r="E643" s="36">
        <f>-----------------------------------------------------------------------------------------------N64528</f>
        <v>0</v>
      </c>
      <c r="F643" s="36" t="s">
        <v>159</v>
      </c>
      <c r="G643" s="36" t="s">
        <v>163</v>
      </c>
      <c r="H643" s="36" t="s">
        <v>163</v>
      </c>
      <c r="I643" s="36" t="s">
        <v>163</v>
      </c>
      <c r="J643" s="43" t="s">
        <v>418</v>
      </c>
      <c r="K643" s="43" t="s">
        <v>143</v>
      </c>
      <c r="L643" s="43" t="s">
        <v>141</v>
      </c>
      <c r="M643" s="43" t="s">
        <v>313</v>
      </c>
      <c r="N643">
        <v>30</v>
      </c>
      <c r="O643" s="57">
        <v>42675</v>
      </c>
    </row>
    <row r="644" spans="1:15" ht="26.4" x14ac:dyDescent="0.25">
      <c r="A644" s="41" t="s">
        <v>982</v>
      </c>
      <c r="B644" s="84">
        <v>22008433</v>
      </c>
      <c r="C644" s="46">
        <v>5000</v>
      </c>
      <c r="D644" s="43" t="s">
        <v>1614</v>
      </c>
      <c r="E644" s="35" t="s">
        <v>608</v>
      </c>
      <c r="F644" s="68" t="s">
        <v>990</v>
      </c>
      <c r="G644" s="36" t="s">
        <v>163</v>
      </c>
      <c r="H644" s="36" t="s">
        <v>163</v>
      </c>
      <c r="I644" s="36" t="s">
        <v>163</v>
      </c>
      <c r="J644" s="43" t="s">
        <v>983</v>
      </c>
      <c r="L644" s="43" t="s">
        <v>141</v>
      </c>
      <c r="M644" s="43" t="s">
        <v>313</v>
      </c>
      <c r="N644">
        <v>30</v>
      </c>
      <c r="O644" s="69">
        <v>42675</v>
      </c>
    </row>
    <row r="645" spans="1:15" ht="26.4" x14ac:dyDescent="0.25">
      <c r="A645" s="67" t="s">
        <v>1616</v>
      </c>
      <c r="B645" s="84">
        <v>18558676</v>
      </c>
      <c r="C645" s="46">
        <v>1600</v>
      </c>
      <c r="D645" s="43" t="s">
        <v>1615</v>
      </c>
      <c r="E645" s="53" t="s">
        <v>661</v>
      </c>
      <c r="F645" s="44" t="s">
        <v>661</v>
      </c>
      <c r="G645" s="44" t="s">
        <v>661</v>
      </c>
      <c r="H645" s="44" t="s">
        <v>661</v>
      </c>
      <c r="I645" s="44" t="s">
        <v>661</v>
      </c>
      <c r="J645" s="43" t="s">
        <v>664</v>
      </c>
      <c r="K645" s="36" t="s">
        <v>143</v>
      </c>
      <c r="L645" s="43" t="s">
        <v>141</v>
      </c>
      <c r="M645" s="43" t="s">
        <v>313</v>
      </c>
      <c r="N645">
        <v>3</v>
      </c>
      <c r="O645" s="57">
        <v>42703</v>
      </c>
    </row>
    <row r="646" spans="1:15" ht="26.4" x14ac:dyDescent="0.25">
      <c r="A646" s="67" t="s">
        <v>1617</v>
      </c>
      <c r="B646" s="84">
        <v>12417121</v>
      </c>
      <c r="C646" s="46">
        <v>70000</v>
      </c>
      <c r="D646" s="43" t="s">
        <v>1621</v>
      </c>
      <c r="E646" s="53" t="s">
        <v>1622</v>
      </c>
      <c r="F646" s="44" t="s">
        <v>1470</v>
      </c>
      <c r="G646" s="44" t="s">
        <v>1518</v>
      </c>
      <c r="H646" s="44" t="s">
        <v>1470</v>
      </c>
      <c r="I646" s="44" t="s">
        <v>1518</v>
      </c>
      <c r="J646" s="43" t="s">
        <v>1618</v>
      </c>
      <c r="K646">
        <v>6364</v>
      </c>
      <c r="L646" s="43" t="s">
        <v>1619</v>
      </c>
      <c r="M646" s="43" t="s">
        <v>269</v>
      </c>
      <c r="N646">
        <v>10</v>
      </c>
      <c r="O646" s="96" t="s">
        <v>1620</v>
      </c>
    </row>
    <row r="647" spans="1:15" ht="26.4" x14ac:dyDescent="0.25">
      <c r="A647" s="41" t="s">
        <v>863</v>
      </c>
      <c r="B647" s="42">
        <v>22214698</v>
      </c>
      <c r="C647" s="46">
        <v>15722.5</v>
      </c>
      <c r="D647" s="43" t="s">
        <v>1623</v>
      </c>
      <c r="E647" s="35" t="s">
        <v>1624</v>
      </c>
      <c r="F647" s="44" t="s">
        <v>569</v>
      </c>
      <c r="G647" s="36" t="s">
        <v>163</v>
      </c>
      <c r="H647" s="36" t="s">
        <v>163</v>
      </c>
      <c r="I647" s="36" t="s">
        <v>163</v>
      </c>
      <c r="J647" s="43" t="s">
        <v>864</v>
      </c>
      <c r="K647" s="35" t="s">
        <v>285</v>
      </c>
      <c r="L647" s="43" t="s">
        <v>865</v>
      </c>
      <c r="M647" s="43" t="s">
        <v>313</v>
      </c>
      <c r="N647">
        <v>3</v>
      </c>
      <c r="O647" s="57">
        <v>42705</v>
      </c>
    </row>
    <row r="648" spans="1:15" ht="26.4" x14ac:dyDescent="0.25">
      <c r="A648" s="67" t="s">
        <v>1546</v>
      </c>
      <c r="B648" s="84">
        <v>14948955</v>
      </c>
      <c r="C648" s="46">
        <v>7500</v>
      </c>
      <c r="D648" s="43" t="s">
        <v>1569</v>
      </c>
      <c r="E648" s="35" t="s">
        <v>1625</v>
      </c>
      <c r="F648" s="44" t="s">
        <v>661</v>
      </c>
      <c r="G648" s="44" t="s">
        <v>661</v>
      </c>
      <c r="H648" s="44" t="s">
        <v>661</v>
      </c>
      <c r="I648" s="44" t="s">
        <v>661</v>
      </c>
      <c r="J648" s="43" t="s">
        <v>1211</v>
      </c>
      <c r="K648" s="36" t="s">
        <v>285</v>
      </c>
      <c r="L648" s="43" t="s">
        <v>723</v>
      </c>
      <c r="M648" s="43" t="s">
        <v>313</v>
      </c>
      <c r="N648">
        <v>3</v>
      </c>
      <c r="O648" s="57">
        <v>42705</v>
      </c>
    </row>
    <row r="649" spans="1:15" ht="26.4" x14ac:dyDescent="0.25">
      <c r="A649" s="67" t="s">
        <v>1037</v>
      </c>
      <c r="B649" s="84">
        <v>32157709</v>
      </c>
      <c r="C649" s="46">
        <v>900</v>
      </c>
      <c r="D649" s="43" t="s">
        <v>1626</v>
      </c>
      <c r="E649" s="35" t="s">
        <v>1627</v>
      </c>
      <c r="F649" s="35" t="s">
        <v>990</v>
      </c>
      <c r="G649" s="36" t="s">
        <v>163</v>
      </c>
      <c r="H649" s="36" t="s">
        <v>163</v>
      </c>
      <c r="I649" s="36" t="s">
        <v>163</v>
      </c>
      <c r="J649" s="43" t="s">
        <v>1038</v>
      </c>
      <c r="L649" s="43" t="s">
        <v>141</v>
      </c>
      <c r="M649" s="43" t="s">
        <v>313</v>
      </c>
      <c r="N649">
        <v>2</v>
      </c>
      <c r="O649" s="69">
        <v>42705</v>
      </c>
    </row>
    <row r="650" spans="1:15" ht="26.4" x14ac:dyDescent="0.25">
      <c r="A650" s="67" t="s">
        <v>1586</v>
      </c>
      <c r="B650" s="84">
        <v>30045205</v>
      </c>
      <c r="C650" s="46">
        <v>2660</v>
      </c>
      <c r="D650" s="43" t="s">
        <v>1628</v>
      </c>
      <c r="E650" t="s">
        <v>1629</v>
      </c>
      <c r="F650" s="36" t="s">
        <v>1630</v>
      </c>
      <c r="G650" s="44" t="s">
        <v>661</v>
      </c>
      <c r="H650" s="44" t="s">
        <v>661</v>
      </c>
      <c r="I650" s="44" t="s">
        <v>661</v>
      </c>
      <c r="J650" s="43" t="s">
        <v>1166</v>
      </c>
      <c r="K650">
        <v>208</v>
      </c>
      <c r="L650" s="43" t="s">
        <v>141</v>
      </c>
      <c r="M650" s="43" t="s">
        <v>269</v>
      </c>
      <c r="N650">
        <v>1</v>
      </c>
      <c r="O650" s="57">
        <v>42703</v>
      </c>
    </row>
    <row r="651" spans="1:15" ht="26.4" x14ac:dyDescent="0.25">
      <c r="A651" s="41" t="s">
        <v>908</v>
      </c>
      <c r="B651" s="52">
        <v>23398053</v>
      </c>
      <c r="C651" s="46">
        <v>2500</v>
      </c>
      <c r="D651" s="43" t="s">
        <v>1631</v>
      </c>
      <c r="E651" s="35" t="s">
        <v>1632</v>
      </c>
      <c r="F651" s="36" t="s">
        <v>1633</v>
      </c>
      <c r="G651" s="36" t="s">
        <v>163</v>
      </c>
      <c r="H651" s="36" t="s">
        <v>163</v>
      </c>
      <c r="I651" s="36" t="s">
        <v>163</v>
      </c>
      <c r="J651" s="43" t="s">
        <v>896</v>
      </c>
      <c r="K651">
        <v>195</v>
      </c>
      <c r="L651" s="43" t="s">
        <v>141</v>
      </c>
      <c r="M651" s="43" t="s">
        <v>313</v>
      </c>
      <c r="N651">
        <v>3</v>
      </c>
      <c r="O651" s="57">
        <v>42705</v>
      </c>
    </row>
    <row r="652" spans="1:15" ht="26.4" x14ac:dyDescent="0.25">
      <c r="A652" s="67" t="s">
        <v>1224</v>
      </c>
      <c r="B652" s="84">
        <v>36146287</v>
      </c>
      <c r="C652" s="46">
        <v>1500</v>
      </c>
      <c r="D652" s="77" t="s">
        <v>1634</v>
      </c>
      <c r="E652" s="54" t="s">
        <v>661</v>
      </c>
      <c r="F652" s="53" t="s">
        <v>661</v>
      </c>
      <c r="G652" s="36" t="s">
        <v>163</v>
      </c>
      <c r="H652" s="36" t="s">
        <v>163</v>
      </c>
      <c r="I652" s="36" t="s">
        <v>163</v>
      </c>
      <c r="J652" s="77" t="s">
        <v>1221</v>
      </c>
      <c r="K652">
        <v>665</v>
      </c>
      <c r="L652" s="77" t="s">
        <v>141</v>
      </c>
      <c r="M652" s="77" t="s">
        <v>269</v>
      </c>
      <c r="N652" s="74">
        <v>1</v>
      </c>
      <c r="O652" s="57">
        <v>42711</v>
      </c>
    </row>
    <row r="653" spans="1:15" ht="26.4" x14ac:dyDescent="0.25">
      <c r="A653" s="67" t="s">
        <v>1635</v>
      </c>
      <c r="B653" s="84">
        <v>17790171</v>
      </c>
      <c r="C653" s="46">
        <v>900</v>
      </c>
      <c r="D653" s="43" t="s">
        <v>1636</v>
      </c>
      <c r="E653" s="53" t="s">
        <v>661</v>
      </c>
      <c r="F653" s="54" t="s">
        <v>661</v>
      </c>
      <c r="G653" s="44" t="s">
        <v>661</v>
      </c>
      <c r="H653" s="44" t="s">
        <v>661</v>
      </c>
      <c r="I653" s="44" t="s">
        <v>661</v>
      </c>
      <c r="J653" s="43" t="s">
        <v>1523</v>
      </c>
      <c r="K653">
        <v>551</v>
      </c>
      <c r="L653" s="43" t="s">
        <v>141</v>
      </c>
      <c r="M653" s="43" t="s">
        <v>269</v>
      </c>
      <c r="N653">
        <v>2</v>
      </c>
      <c r="O653" s="57">
        <v>42705</v>
      </c>
    </row>
    <row r="654" spans="1:15" ht="26.4" x14ac:dyDescent="0.25">
      <c r="A654" s="67" t="s">
        <v>1637</v>
      </c>
      <c r="B654" s="84">
        <v>34791556</v>
      </c>
      <c r="C654" s="46">
        <v>2350</v>
      </c>
      <c r="D654" s="43" t="s">
        <v>1638</v>
      </c>
      <c r="E654" s="35" t="s">
        <v>1639</v>
      </c>
      <c r="F654" s="54" t="s">
        <v>1470</v>
      </c>
      <c r="G654" s="44" t="s">
        <v>1470</v>
      </c>
      <c r="H654" s="44" t="s">
        <v>1470</v>
      </c>
      <c r="I654" s="54" t="s">
        <v>1518</v>
      </c>
      <c r="J654" s="43" t="s">
        <v>1640</v>
      </c>
      <c r="K654" t="s">
        <v>285</v>
      </c>
      <c r="L654" s="43" t="s">
        <v>1139</v>
      </c>
      <c r="M654" s="43" t="s">
        <v>269</v>
      </c>
      <c r="N654">
        <v>5</v>
      </c>
      <c r="O654" s="57">
        <v>42716</v>
      </c>
    </row>
    <row r="655" spans="1:15" ht="26.4" x14ac:dyDescent="0.25">
      <c r="A655" s="67" t="s">
        <v>1641</v>
      </c>
      <c r="B655" s="84">
        <v>36986925</v>
      </c>
      <c r="C655" s="46">
        <v>330</v>
      </c>
      <c r="D655" s="43" t="s">
        <v>1642</v>
      </c>
      <c r="E655" s="53" t="s">
        <v>1518</v>
      </c>
      <c r="F655" s="54" t="s">
        <v>1518</v>
      </c>
      <c r="G655" s="44" t="s">
        <v>1643</v>
      </c>
      <c r="H655" s="44" t="s">
        <v>1470</v>
      </c>
      <c r="I655" s="54" t="s">
        <v>1518</v>
      </c>
      <c r="J655" s="43" t="s">
        <v>545</v>
      </c>
      <c r="K655" t="s">
        <v>285</v>
      </c>
      <c r="L655" s="43" t="s">
        <v>141</v>
      </c>
      <c r="M655" s="43" t="s">
        <v>269</v>
      </c>
      <c r="N655">
        <v>1</v>
      </c>
      <c r="O655" s="57">
        <v>42717</v>
      </c>
    </row>
    <row r="656" spans="1:15" ht="26.4" x14ac:dyDescent="0.25">
      <c r="A656" s="67" t="s">
        <v>1600</v>
      </c>
      <c r="B656" s="84">
        <v>14948971</v>
      </c>
      <c r="C656" s="46">
        <v>3000</v>
      </c>
      <c r="D656" s="43" t="s">
        <v>1644</v>
      </c>
      <c r="E656" s="35" t="s">
        <v>1645</v>
      </c>
      <c r="F656" s="54" t="s">
        <v>329</v>
      </c>
      <c r="G656" s="44" t="s">
        <v>1518</v>
      </c>
      <c r="H656" s="44" t="s">
        <v>1518</v>
      </c>
      <c r="I656" s="54" t="s">
        <v>1646</v>
      </c>
      <c r="J656" s="43" t="s">
        <v>1647</v>
      </c>
      <c r="K656" t="s">
        <v>285</v>
      </c>
      <c r="L656" s="43" t="s">
        <v>852</v>
      </c>
      <c r="M656" s="43" t="s">
        <v>269</v>
      </c>
      <c r="N656">
        <v>1</v>
      </c>
      <c r="O656" s="57">
        <v>42715</v>
      </c>
    </row>
    <row r="657" spans="1:15" ht="26.4" x14ac:dyDescent="0.25">
      <c r="A657" s="67" t="s">
        <v>1648</v>
      </c>
      <c r="B657" s="84">
        <v>26724915</v>
      </c>
      <c r="C657" s="46">
        <v>7500</v>
      </c>
      <c r="D657" s="43" t="s">
        <v>1649</v>
      </c>
      <c r="E657" s="35" t="s">
        <v>1650</v>
      </c>
      <c r="F657" t="s">
        <v>1651</v>
      </c>
      <c r="G657" s="44" t="s">
        <v>661</v>
      </c>
      <c r="H657" s="44" t="s">
        <v>658</v>
      </c>
      <c r="I657" s="54" t="s">
        <v>658</v>
      </c>
      <c r="J657" s="43" t="s">
        <v>1149</v>
      </c>
      <c r="K657">
        <v>306</v>
      </c>
      <c r="L657" s="43" t="s">
        <v>1151</v>
      </c>
      <c r="M657" s="43" t="s">
        <v>313</v>
      </c>
      <c r="N657">
        <v>2</v>
      </c>
      <c r="O657" s="57">
        <v>42709</v>
      </c>
    </row>
    <row r="658" spans="1:15" ht="26.4" x14ac:dyDescent="0.25">
      <c r="A658" s="67" t="s">
        <v>1224</v>
      </c>
      <c r="B658" s="84">
        <v>36146287</v>
      </c>
      <c r="C658" s="46">
        <v>850</v>
      </c>
      <c r="D658" s="77" t="s">
        <v>1655</v>
      </c>
      <c r="E658" t="s">
        <v>1656</v>
      </c>
      <c r="F658" s="53" t="s">
        <v>661</v>
      </c>
      <c r="G658" s="36" t="s">
        <v>163</v>
      </c>
      <c r="H658" s="36" t="s">
        <v>163</v>
      </c>
      <c r="I658" s="36" t="s">
        <v>163</v>
      </c>
      <c r="J658" s="77" t="s">
        <v>1221</v>
      </c>
      <c r="K658">
        <v>665</v>
      </c>
      <c r="L658" s="77" t="s">
        <v>141</v>
      </c>
      <c r="M658" s="77" t="s">
        <v>269</v>
      </c>
      <c r="N658" s="74">
        <v>1</v>
      </c>
      <c r="O658" s="57">
        <v>42710</v>
      </c>
    </row>
    <row r="659" spans="1:15" ht="26.4" x14ac:dyDescent="0.25">
      <c r="A659" s="67" t="s">
        <v>1224</v>
      </c>
      <c r="B659" s="84">
        <v>36146287</v>
      </c>
      <c r="C659" s="46">
        <v>650</v>
      </c>
      <c r="D659" s="77" t="s">
        <v>1657</v>
      </c>
      <c r="E659" t="s">
        <v>1658</v>
      </c>
      <c r="F659" s="53" t="s">
        <v>661</v>
      </c>
      <c r="G659" s="36" t="s">
        <v>163</v>
      </c>
      <c r="H659" s="36" t="s">
        <v>163</v>
      </c>
      <c r="I659" s="36" t="s">
        <v>163</v>
      </c>
      <c r="J659" s="77" t="s">
        <v>1221</v>
      </c>
      <c r="K659">
        <v>665</v>
      </c>
      <c r="L659" s="77" t="s">
        <v>141</v>
      </c>
      <c r="M659" s="77" t="s">
        <v>269</v>
      </c>
      <c r="N659" s="74">
        <v>1</v>
      </c>
      <c r="O659" s="57">
        <v>42711</v>
      </c>
    </row>
    <row r="660" spans="1:15" ht="26.4" x14ac:dyDescent="0.25">
      <c r="A660" s="67" t="s">
        <v>1224</v>
      </c>
      <c r="B660" s="84">
        <v>36146287</v>
      </c>
      <c r="C660" s="46">
        <v>800</v>
      </c>
      <c r="D660" s="77" t="s">
        <v>1659</v>
      </c>
      <c r="E660" s="54" t="s">
        <v>661</v>
      </c>
      <c r="F660" s="53" t="s">
        <v>661</v>
      </c>
      <c r="G660" s="36" t="s">
        <v>163</v>
      </c>
      <c r="H660" s="36" t="s">
        <v>163</v>
      </c>
      <c r="I660" s="36" t="s">
        <v>163</v>
      </c>
      <c r="J660" s="77" t="s">
        <v>1221</v>
      </c>
      <c r="K660">
        <v>665</v>
      </c>
      <c r="L660" s="77" t="s">
        <v>141</v>
      </c>
      <c r="M660" s="77" t="s">
        <v>269</v>
      </c>
      <c r="N660" s="74">
        <v>1</v>
      </c>
      <c r="O660" s="57">
        <v>42716</v>
      </c>
    </row>
    <row r="661" spans="1:15" ht="26.4" x14ac:dyDescent="0.25">
      <c r="A661" s="41" t="s">
        <v>1384</v>
      </c>
      <c r="B661" s="52">
        <v>31990359</v>
      </c>
      <c r="C661" s="46">
        <v>2200</v>
      </c>
      <c r="D661" s="43" t="s">
        <v>1652</v>
      </c>
      <c r="E661" s="35" t="s">
        <v>1653</v>
      </c>
      <c r="F661" s="44" t="s">
        <v>569</v>
      </c>
      <c r="G661" s="36" t="s">
        <v>163</v>
      </c>
      <c r="H661" s="36" t="s">
        <v>163</v>
      </c>
      <c r="I661" s="36" t="s">
        <v>163</v>
      </c>
      <c r="J661" s="43" t="s">
        <v>970</v>
      </c>
      <c r="K661" s="35" t="s">
        <v>285</v>
      </c>
      <c r="L661" s="43" t="s">
        <v>723</v>
      </c>
      <c r="M661" s="43" t="s">
        <v>313</v>
      </c>
      <c r="N661">
        <v>5</v>
      </c>
      <c r="O661" s="57">
        <v>42716</v>
      </c>
    </row>
    <row r="662" spans="1:15" ht="26.4" x14ac:dyDescent="0.25">
      <c r="A662" s="67" t="s">
        <v>1224</v>
      </c>
      <c r="B662" s="84">
        <v>36146287</v>
      </c>
      <c r="C662" s="46">
        <v>24000</v>
      </c>
      <c r="D662" s="77" t="s">
        <v>1660</v>
      </c>
      <c r="E662" s="35" t="s">
        <v>1661</v>
      </c>
      <c r="F662" s="53" t="s">
        <v>661</v>
      </c>
      <c r="G662" s="36" t="s">
        <v>163</v>
      </c>
      <c r="H662" s="36" t="s">
        <v>163</v>
      </c>
      <c r="I662" s="36" t="s">
        <v>163</v>
      </c>
      <c r="J662" s="77" t="s">
        <v>1221</v>
      </c>
      <c r="K662">
        <v>665</v>
      </c>
      <c r="L662" s="77" t="s">
        <v>141</v>
      </c>
      <c r="M662" s="77" t="s">
        <v>269</v>
      </c>
      <c r="N662" s="74">
        <v>60</v>
      </c>
      <c r="O662" s="57">
        <v>42696</v>
      </c>
    </row>
    <row r="663" spans="1:15" ht="26.4" x14ac:dyDescent="0.25">
      <c r="A663" s="67" t="s">
        <v>1224</v>
      </c>
      <c r="B663" s="84">
        <v>36146287</v>
      </c>
      <c r="C663" s="46">
        <v>2000</v>
      </c>
      <c r="D663" s="77" t="s">
        <v>1662</v>
      </c>
      <c r="E663" s="35" t="s">
        <v>1663</v>
      </c>
      <c r="F663" s="53" t="s">
        <v>661</v>
      </c>
      <c r="G663" s="36" t="s">
        <v>163</v>
      </c>
      <c r="H663" s="36" t="s">
        <v>163</v>
      </c>
      <c r="I663" s="36" t="s">
        <v>163</v>
      </c>
      <c r="J663" s="77" t="s">
        <v>1221</v>
      </c>
      <c r="K663">
        <v>665</v>
      </c>
      <c r="L663" s="77" t="s">
        <v>141</v>
      </c>
      <c r="M663" s="77" t="s">
        <v>269</v>
      </c>
      <c r="N663" s="74">
        <v>1</v>
      </c>
      <c r="O663" s="57">
        <v>42717</v>
      </c>
    </row>
    <row r="664" spans="1:15" ht="26.4" x14ac:dyDescent="0.25">
      <c r="A664" s="67" t="s">
        <v>1224</v>
      </c>
      <c r="B664" s="84">
        <v>36146287</v>
      </c>
      <c r="C664" s="46">
        <v>1500</v>
      </c>
      <c r="D664" s="77" t="s">
        <v>1664</v>
      </c>
      <c r="E664" s="53" t="s">
        <v>1643</v>
      </c>
      <c r="F664" s="53" t="s">
        <v>1518</v>
      </c>
      <c r="G664" s="44" t="s">
        <v>1518</v>
      </c>
      <c r="H664" s="44" t="s">
        <v>1519</v>
      </c>
      <c r="I664" s="44" t="s">
        <v>1518</v>
      </c>
      <c r="J664" s="77" t="s">
        <v>668</v>
      </c>
      <c r="K664">
        <v>665</v>
      </c>
      <c r="L664" s="77" t="s">
        <v>141</v>
      </c>
      <c r="M664" s="77" t="s">
        <v>269</v>
      </c>
      <c r="N664" s="74">
        <v>1</v>
      </c>
      <c r="O664" s="57">
        <v>42720</v>
      </c>
    </row>
    <row r="665" spans="1:15" ht="26.4" x14ac:dyDescent="0.25">
      <c r="A665" s="67" t="s">
        <v>1665</v>
      </c>
      <c r="B665" s="84">
        <v>24922515</v>
      </c>
      <c r="C665" s="46">
        <v>1500</v>
      </c>
      <c r="D665" s="77" t="s">
        <v>1666</v>
      </c>
      <c r="E665" s="53" t="s">
        <v>1518</v>
      </c>
      <c r="F665" s="53" t="s">
        <v>1470</v>
      </c>
      <c r="G665" s="44" t="s">
        <v>1667</v>
      </c>
      <c r="H665" s="44" t="s">
        <v>1518</v>
      </c>
      <c r="I665" s="44" t="s">
        <v>1646</v>
      </c>
      <c r="J665" s="77" t="s">
        <v>781</v>
      </c>
      <c r="K665" s="36" t="s">
        <v>1668</v>
      </c>
      <c r="L665" s="77" t="s">
        <v>1669</v>
      </c>
      <c r="M665" s="77" t="s">
        <v>313</v>
      </c>
      <c r="N665" s="74">
        <v>1</v>
      </c>
      <c r="O665" s="57">
        <v>42720</v>
      </c>
    </row>
    <row r="666" spans="1:15" ht="26.4" x14ac:dyDescent="0.25">
      <c r="A666" s="41" t="s">
        <v>908</v>
      </c>
      <c r="B666" s="52">
        <v>23398053</v>
      </c>
      <c r="C666" s="46">
        <v>1600</v>
      </c>
      <c r="D666" s="43" t="s">
        <v>1670</v>
      </c>
      <c r="E666" s="35" t="s">
        <v>1671</v>
      </c>
      <c r="F666" s="44" t="s">
        <v>661</v>
      </c>
      <c r="G666" s="36" t="s">
        <v>163</v>
      </c>
      <c r="H666" s="36" t="s">
        <v>163</v>
      </c>
      <c r="I666" s="36" t="s">
        <v>163</v>
      </c>
      <c r="J666" s="43" t="s">
        <v>896</v>
      </c>
      <c r="K666">
        <v>195</v>
      </c>
      <c r="L666" s="43" t="s">
        <v>141</v>
      </c>
      <c r="M666" s="43" t="s">
        <v>313</v>
      </c>
      <c r="N666">
        <v>3</v>
      </c>
      <c r="O666" s="57">
        <v>42716</v>
      </c>
    </row>
    <row r="667" spans="1:15" ht="26.4" x14ac:dyDescent="0.25">
      <c r="A667" s="67" t="s">
        <v>1574</v>
      </c>
      <c r="B667" s="84">
        <v>27897741</v>
      </c>
      <c r="C667" s="46">
        <v>10000</v>
      </c>
      <c r="D667" s="43" t="s">
        <v>1672</v>
      </c>
      <c r="E667" s="35" t="s">
        <v>1673</v>
      </c>
      <c r="F667" s="54" t="s">
        <v>658</v>
      </c>
      <c r="G667" s="44" t="s">
        <v>661</v>
      </c>
      <c r="H667" s="44" t="s">
        <v>658</v>
      </c>
      <c r="I667" s="44" t="s">
        <v>658</v>
      </c>
      <c r="J667" s="43" t="s">
        <v>818</v>
      </c>
      <c r="K667">
        <v>2545</v>
      </c>
      <c r="L667" s="43" t="s">
        <v>974</v>
      </c>
      <c r="M667" s="43" t="s">
        <v>269</v>
      </c>
      <c r="N667">
        <v>15</v>
      </c>
      <c r="O667" s="57">
        <v>42705</v>
      </c>
    </row>
    <row r="668" spans="1:15" ht="26.4" x14ac:dyDescent="0.25">
      <c r="A668" s="41" t="s">
        <v>1383</v>
      </c>
      <c r="B668" s="52">
        <v>18105934</v>
      </c>
      <c r="C668" s="46">
        <v>29495</v>
      </c>
      <c r="D668" s="43" t="s">
        <v>1674</v>
      </c>
      <c r="E668" s="35" t="s">
        <v>1675</v>
      </c>
      <c r="F668" s="36" t="s">
        <v>1676</v>
      </c>
      <c r="G668" s="36" t="s">
        <v>163</v>
      </c>
      <c r="H668" s="36" t="s">
        <v>163</v>
      </c>
      <c r="I668" s="36" t="s">
        <v>163</v>
      </c>
      <c r="J668" s="43" t="s">
        <v>929</v>
      </c>
      <c r="K668" s="35" t="s">
        <v>285</v>
      </c>
      <c r="L668" s="43" t="s">
        <v>378</v>
      </c>
      <c r="M668" s="43" t="s">
        <v>313</v>
      </c>
      <c r="N668">
        <v>20</v>
      </c>
      <c r="O668" s="57">
        <v>42716</v>
      </c>
    </row>
    <row r="669" spans="1:15" ht="26.4" x14ac:dyDescent="0.25">
      <c r="A669" s="67" t="s">
        <v>1354</v>
      </c>
      <c r="B669" s="84">
        <v>6698429</v>
      </c>
      <c r="C669" s="46">
        <v>45000</v>
      </c>
      <c r="D669" s="77" t="s">
        <v>1677</v>
      </c>
      <c r="E669" s="35" t="s">
        <v>1678</v>
      </c>
      <c r="F669" s="54" t="s">
        <v>569</v>
      </c>
      <c r="G669" s="36" t="s">
        <v>163</v>
      </c>
      <c r="H669" s="36" t="s">
        <v>163</v>
      </c>
      <c r="I669" s="36" t="s">
        <v>163</v>
      </c>
      <c r="J669" s="77" t="s">
        <v>1357</v>
      </c>
      <c r="K669" t="s">
        <v>1150</v>
      </c>
      <c r="L669" s="77" t="s">
        <v>1358</v>
      </c>
      <c r="M669" s="77" t="s">
        <v>269</v>
      </c>
      <c r="N669" s="74">
        <v>20</v>
      </c>
      <c r="O669" s="57">
        <v>42716</v>
      </c>
    </row>
    <row r="670" spans="1:15" ht="26.4" x14ac:dyDescent="0.25">
      <c r="A670" s="67" t="s">
        <v>1679</v>
      </c>
      <c r="B670" s="84">
        <v>12209135</v>
      </c>
      <c r="C670" s="46">
        <v>49800</v>
      </c>
      <c r="D670" s="43" t="s">
        <v>1680</v>
      </c>
      <c r="E670" s="35" t="s">
        <v>1681</v>
      </c>
      <c r="F670" s="54" t="s">
        <v>661</v>
      </c>
      <c r="G670" s="44" t="s">
        <v>661</v>
      </c>
      <c r="H670" s="44" t="s">
        <v>661</v>
      </c>
      <c r="I670" s="44" t="s">
        <v>661</v>
      </c>
      <c r="J670" s="43" t="s">
        <v>1682</v>
      </c>
      <c r="K670">
        <v>114</v>
      </c>
      <c r="L670" s="43" t="s">
        <v>141</v>
      </c>
      <c r="M670" s="43" t="s">
        <v>313</v>
      </c>
      <c r="N670">
        <v>20</v>
      </c>
      <c r="O670" s="57">
        <v>42716</v>
      </c>
    </row>
    <row r="671" spans="1:15" ht="26.4" x14ac:dyDescent="0.25">
      <c r="A671" s="35" t="s">
        <v>1003</v>
      </c>
      <c r="B671" s="84">
        <v>93940424</v>
      </c>
      <c r="C671" s="46">
        <v>20000</v>
      </c>
      <c r="D671" s="43" t="s">
        <v>1683</v>
      </c>
      <c r="E671" s="53" t="s">
        <v>661</v>
      </c>
      <c r="F671" s="35" t="s">
        <v>1008</v>
      </c>
      <c r="G671" s="36" t="s">
        <v>163</v>
      </c>
      <c r="H671" s="36" t="s">
        <v>163</v>
      </c>
      <c r="I671" s="36" t="s">
        <v>163</v>
      </c>
      <c r="J671" s="43" t="s">
        <v>1004</v>
      </c>
      <c r="L671" s="43" t="s">
        <v>1005</v>
      </c>
      <c r="M671" s="43" t="s">
        <v>313</v>
      </c>
      <c r="N671">
        <v>10</v>
      </c>
      <c r="O671" s="57">
        <v>42716</v>
      </c>
    </row>
    <row r="672" spans="1:15" ht="26.4" x14ac:dyDescent="0.25">
      <c r="A672" s="41" t="s">
        <v>863</v>
      </c>
      <c r="B672" s="42">
        <v>22214698</v>
      </c>
      <c r="C672" s="46">
        <v>28500</v>
      </c>
      <c r="D672" s="43" t="s">
        <v>1684</v>
      </c>
      <c r="E672" s="35" t="s">
        <v>1685</v>
      </c>
      <c r="F672" s="44" t="s">
        <v>569</v>
      </c>
      <c r="G672" s="36" t="s">
        <v>163</v>
      </c>
      <c r="H672" s="36" t="s">
        <v>163</v>
      </c>
      <c r="I672" s="36" t="s">
        <v>163</v>
      </c>
      <c r="J672" s="43" t="s">
        <v>864</v>
      </c>
      <c r="K672" s="35" t="s">
        <v>285</v>
      </c>
      <c r="L672" s="43" t="s">
        <v>865</v>
      </c>
      <c r="M672" s="43" t="s">
        <v>313</v>
      </c>
      <c r="N672">
        <v>10</v>
      </c>
      <c r="O672" s="57">
        <v>42716</v>
      </c>
    </row>
    <row r="673" spans="1:15" ht="26.4" x14ac:dyDescent="0.25">
      <c r="A673" s="67" t="s">
        <v>1686</v>
      </c>
      <c r="B673" s="84">
        <v>32888628</v>
      </c>
      <c r="C673" s="46">
        <v>3500</v>
      </c>
      <c r="D673" s="43" t="s">
        <v>1687</v>
      </c>
      <c r="E673" s="53" t="s">
        <v>1688</v>
      </c>
      <c r="F673" s="54" t="s">
        <v>1688</v>
      </c>
      <c r="G673" s="44" t="s">
        <v>1646</v>
      </c>
      <c r="H673" s="44" t="s">
        <v>1689</v>
      </c>
      <c r="I673" s="44" t="s">
        <v>1519</v>
      </c>
      <c r="J673" s="43" t="s">
        <v>896</v>
      </c>
      <c r="K673">
        <v>19</v>
      </c>
      <c r="L673" s="43" t="s">
        <v>141</v>
      </c>
      <c r="M673" s="43" t="s">
        <v>269</v>
      </c>
      <c r="N673">
        <v>1</v>
      </c>
      <c r="O673" s="57">
        <v>42721</v>
      </c>
    </row>
    <row r="674" spans="1:15" ht="26.4" x14ac:dyDescent="0.25">
      <c r="A674" s="67" t="s">
        <v>1589</v>
      </c>
      <c r="B674" s="84">
        <v>8307410</v>
      </c>
      <c r="C674" s="46">
        <v>17100</v>
      </c>
      <c r="D674" s="43" t="s">
        <v>1690</v>
      </c>
      <c r="E674" s="53" t="s">
        <v>661</v>
      </c>
      <c r="F674" s="54" t="s">
        <v>661</v>
      </c>
      <c r="G674" s="44" t="s">
        <v>661</v>
      </c>
      <c r="H674" s="44" t="s">
        <v>661</v>
      </c>
      <c r="I674" s="44" t="s">
        <v>661</v>
      </c>
      <c r="J674" s="43" t="s">
        <v>1592</v>
      </c>
      <c r="K674" s="36" t="s">
        <v>1150</v>
      </c>
      <c r="L674" s="43" t="s">
        <v>1591</v>
      </c>
      <c r="M674" s="43" t="s">
        <v>204</v>
      </c>
      <c r="N674">
        <v>5</v>
      </c>
      <c r="O674" s="57">
        <v>42723</v>
      </c>
    </row>
    <row r="675" spans="1:15" ht="26.4" x14ac:dyDescent="0.25">
      <c r="A675" s="67" t="s">
        <v>1142</v>
      </c>
      <c r="B675" s="88">
        <v>11199679</v>
      </c>
      <c r="C675" s="46">
        <v>3100</v>
      </c>
      <c r="D675" s="77" t="s">
        <v>1691</v>
      </c>
      <c r="E675" s="79" t="s">
        <v>572</v>
      </c>
      <c r="F675" s="82" t="s">
        <v>1144</v>
      </c>
      <c r="G675" s="36" t="s">
        <v>163</v>
      </c>
      <c r="H675" s="36" t="s">
        <v>163</v>
      </c>
      <c r="I675" s="36" t="s">
        <v>163</v>
      </c>
      <c r="J675" s="77" t="s">
        <v>748</v>
      </c>
      <c r="K675" s="80" t="s">
        <v>143</v>
      </c>
      <c r="L675" s="77" t="s">
        <v>141</v>
      </c>
      <c r="M675" s="77" t="s">
        <v>269</v>
      </c>
      <c r="N675" s="74">
        <v>5</v>
      </c>
      <c r="O675" s="57">
        <v>42371</v>
      </c>
    </row>
    <row r="676" spans="1:15" ht="26.4" x14ac:dyDescent="0.25">
      <c r="A676" s="41" t="s">
        <v>908</v>
      </c>
      <c r="B676" s="52">
        <v>23398053</v>
      </c>
      <c r="C676" s="46">
        <v>3700</v>
      </c>
      <c r="D676" s="43" t="s">
        <v>1694</v>
      </c>
      <c r="E676" s="35" t="s">
        <v>1692</v>
      </c>
      <c r="F676" s="36" t="s">
        <v>1693</v>
      </c>
      <c r="G676" s="44" t="s">
        <v>661</v>
      </c>
      <c r="H676" s="36" t="s">
        <v>163</v>
      </c>
      <c r="I676" s="36" t="s">
        <v>163</v>
      </c>
      <c r="J676" s="43" t="s">
        <v>896</v>
      </c>
      <c r="K676">
        <v>195</v>
      </c>
      <c r="L676" s="43" t="s">
        <v>141</v>
      </c>
      <c r="M676" s="43" t="s">
        <v>313</v>
      </c>
      <c r="N676">
        <v>4</v>
      </c>
      <c r="O676" s="57">
        <v>42730</v>
      </c>
    </row>
    <row r="677" spans="1:15" ht="26.4" x14ac:dyDescent="0.25">
      <c r="A677" s="41" t="s">
        <v>982</v>
      </c>
      <c r="B677" s="84">
        <v>22008433</v>
      </c>
      <c r="C677" s="46">
        <v>6400</v>
      </c>
      <c r="D677" s="43" t="s">
        <v>1695</v>
      </c>
      <c r="E677" s="35" t="s">
        <v>608</v>
      </c>
      <c r="F677" s="68" t="s">
        <v>990</v>
      </c>
      <c r="G677" s="36" t="s">
        <v>163</v>
      </c>
      <c r="H677" s="36" t="s">
        <v>163</v>
      </c>
      <c r="I677" s="36" t="s">
        <v>163</v>
      </c>
      <c r="J677" s="43" t="s">
        <v>983</v>
      </c>
      <c r="L677" s="43" t="s">
        <v>141</v>
      </c>
      <c r="M677" s="43" t="s">
        <v>313</v>
      </c>
      <c r="N677">
        <v>5</v>
      </c>
      <c r="O677" s="69">
        <v>42371</v>
      </c>
    </row>
    <row r="678" spans="1:15" ht="26.4" x14ac:dyDescent="0.25">
      <c r="A678" s="41" t="s">
        <v>1047</v>
      </c>
      <c r="B678" s="52">
        <v>36917675</v>
      </c>
      <c r="C678" s="46">
        <f>178*50</f>
        <v>8900</v>
      </c>
      <c r="D678" s="43" t="s">
        <v>1697</v>
      </c>
      <c r="E678" s="53" t="s">
        <v>658</v>
      </c>
      <c r="F678" s="44" t="s">
        <v>569</v>
      </c>
      <c r="G678" s="36" t="s">
        <v>163</v>
      </c>
      <c r="H678" s="36" t="s">
        <v>163</v>
      </c>
      <c r="I678" s="36" t="s">
        <v>163</v>
      </c>
      <c r="J678" s="43" t="s">
        <v>889</v>
      </c>
      <c r="K678" s="35" t="s">
        <v>285</v>
      </c>
      <c r="L678" s="43" t="s">
        <v>141</v>
      </c>
      <c r="M678" s="43" t="s">
        <v>313</v>
      </c>
      <c r="N678">
        <v>25</v>
      </c>
      <c r="O678" s="57">
        <v>42710</v>
      </c>
    </row>
    <row r="679" spans="1:15" s="74" customFormat="1" ht="26.4" x14ac:dyDescent="0.25">
      <c r="A679" s="67" t="s">
        <v>1094</v>
      </c>
      <c r="B679" s="88">
        <v>24221323</v>
      </c>
      <c r="C679" s="46">
        <f>178*50</f>
        <v>8900</v>
      </c>
      <c r="D679" s="43" t="s">
        <v>1697</v>
      </c>
      <c r="E679" s="53" t="s">
        <v>658</v>
      </c>
      <c r="F679" s="44" t="s">
        <v>569</v>
      </c>
      <c r="G679" s="36" t="s">
        <v>163</v>
      </c>
      <c r="H679" s="36" t="s">
        <v>163</v>
      </c>
      <c r="I679" s="36" t="s">
        <v>163</v>
      </c>
      <c r="J679" s="77" t="s">
        <v>1096</v>
      </c>
      <c r="K679" s="73">
        <v>420</v>
      </c>
      <c r="L679" s="77" t="s">
        <v>141</v>
      </c>
      <c r="M679" s="77" t="s">
        <v>313</v>
      </c>
      <c r="N679" s="74">
        <v>25</v>
      </c>
      <c r="O679" s="75">
        <v>42401</v>
      </c>
    </row>
  </sheetData>
  <autoFilter ref="A1:N679"/>
  <sortState ref="A2:J41">
    <sortCondition ref="A2:A41"/>
  </sortState>
  <dataValidations disablePrompts="1" count="1">
    <dataValidation type="list" allowBlank="1" showInputMessage="1" showErrorMessage="1" sqref="A4:A5 A62 A59 A49 A27:A28">
      <formula1>personal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Adelanto</vt:lpstr>
      <vt:lpstr>Datos</vt:lpstr>
      <vt:lpstr>Hoja3</vt:lpstr>
      <vt:lpstr>Adelanto!Área_de_impresión</vt:lpstr>
      <vt:lpstr>Empleados</vt:lpstr>
      <vt:lpstr>Mes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Hacienda</cp:lastModifiedBy>
  <cp:lastPrinted>2017-01-03T14:25:29Z</cp:lastPrinted>
  <dcterms:created xsi:type="dcterms:W3CDTF">2013-01-24T13:03:25Z</dcterms:created>
  <dcterms:modified xsi:type="dcterms:W3CDTF">2017-01-03T14:26:02Z</dcterms:modified>
</cp:coreProperties>
</file>