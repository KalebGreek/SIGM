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645" windowWidth="13995" windowHeight="7845"/>
  </bookViews>
  <sheets>
    <sheet name="Adelanto" sheetId="1" r:id="rId1"/>
    <sheet name="Registro" sheetId="4" r:id="rId2"/>
    <sheet name="listas" sheetId="8" r:id="rId3"/>
  </sheets>
  <functionGroups builtInGroupCount="17"/>
  <externalReferences>
    <externalReference r:id="rId4"/>
  </externalReferences>
  <definedNames>
    <definedName name="_xlnm.Print_Area" localSheetId="0">Adelanto!$A$1:$AJ$62</definedName>
    <definedName name="Empleados">#REF!</definedName>
    <definedName name="Fecha">#REF!</definedName>
    <definedName name="Mes">#REF!</definedName>
    <definedName name="personal">[1]Contratados!$A:$A</definedName>
    <definedName name="_xlnm.Print_Titles" localSheetId="1">Registro!$2:$2</definedName>
    <definedName name="TODOS">[1]ADELANTOS!$A$93:$A$202</definedName>
  </definedNames>
  <calcPr calcId="145621"/>
</workbook>
</file>

<file path=xl/calcChain.xml><?xml version="1.0" encoding="utf-8"?>
<calcChain xmlns="http://schemas.openxmlformats.org/spreadsheetml/2006/main">
  <c r="I62" i="1" l="1"/>
  <c r="J60" i="1"/>
  <c r="Z58" i="1"/>
  <c r="J58" i="1"/>
  <c r="W50" i="1"/>
  <c r="K50" i="1"/>
  <c r="W48" i="1"/>
  <c r="Q48" i="1"/>
  <c r="J42" i="1"/>
  <c r="I40" i="1"/>
  <c r="M38" i="1"/>
  <c r="D26" i="1"/>
  <c r="J23" i="1"/>
  <c r="C24" i="1"/>
  <c r="W30" i="1"/>
  <c r="W28" i="1"/>
  <c r="R26" i="1"/>
  <c r="R24" i="1"/>
  <c r="F32" i="1"/>
  <c r="AB16" i="1"/>
  <c r="P14" i="1"/>
  <c r="F14" i="1"/>
  <c r="I12" i="1"/>
  <c r="B10" i="1"/>
  <c r="Z8" i="1"/>
  <c r="T8" i="1"/>
  <c r="H2" i="1"/>
  <c r="B16" i="1" l="1"/>
</calcChain>
</file>

<file path=xl/sharedStrings.xml><?xml version="1.0" encoding="utf-8"?>
<sst xmlns="http://schemas.openxmlformats.org/spreadsheetml/2006/main" count="89" uniqueCount="79">
  <si>
    <t>de la localidad de</t>
  </si>
  <si>
    <t>Villa de las rosas</t>
  </si>
  <si>
    <t>SOLICITUD Nº</t>
  </si>
  <si>
    <t>Solicitante</t>
  </si>
  <si>
    <t>Lote</t>
  </si>
  <si>
    <t>Manzana</t>
  </si>
  <si>
    <t>Localidad</t>
  </si>
  <si>
    <t>Frente</t>
  </si>
  <si>
    <t>Fondo</t>
  </si>
  <si>
    <t>Tipo Vivienda</t>
  </si>
  <si>
    <t>Ubicación</t>
  </si>
  <si>
    <t>Uso</t>
  </si>
  <si>
    <t>Unidades</t>
  </si>
  <si>
    <t>Dirección</t>
  </si>
  <si>
    <t>Informe Encargado</t>
  </si>
  <si>
    <t>Año Construcción</t>
  </si>
  <si>
    <t>Servicio</t>
  </si>
  <si>
    <t>Detalle de Propiedad</t>
  </si>
  <si>
    <t>Detalle Responsable</t>
  </si>
  <si>
    <t>El que suscribe</t>
  </si>
  <si>
    <t xml:space="preserve">asd asd </t>
  </si>
  <si>
    <t>si</t>
  </si>
  <si>
    <t>se dirige al Sr. Intendente</t>
  </si>
  <si>
    <t>Municipal, a fin de solicitar autorización para realizar la conexión de agua a través la red domiciliaria</t>
  </si>
  <si>
    <t xml:space="preserve">correspondiente al Ejido Municipal, y que pasa frente a mi propiedad.       </t>
  </si>
  <si>
    <t>La conexión solicitada será efectuada en el lote Nº</t>
  </si>
  <si>
    <t>, manzana</t>
  </si>
  <si>
    <t>en la localidad de</t>
  </si>
  <si>
    <t>que tiene</t>
  </si>
  <si>
    <t>mts. de frente por</t>
  </si>
  <si>
    <t xml:space="preserve">mts. de fondo, es decir una superficie total de </t>
  </si>
  <si>
    <t>mts.²</t>
  </si>
  <si>
    <t>Esta conexión se utilizará para surtir de agua a una vivienda</t>
  </si>
  <si>
    <t>comprometiéndose a pagar y cumplir todo lo que corresponde de acuerdo con las disposiciones</t>
  </si>
  <si>
    <t>vigentes.</t>
  </si>
  <si>
    <t>Un. de viviendas a servir:</t>
  </si>
  <si>
    <t>Tanque de reserva:</t>
  </si>
  <si>
    <t>Todos los datos son exactos, por lo que doy a la presente carácter de DECLARACIÓN JURADA,</t>
  </si>
  <si>
    <t xml:space="preserve">fijando domicilio a tal efecto en </t>
  </si>
  <si>
    <t>.</t>
  </si>
  <si>
    <t>Teléfono de contacto:</t>
  </si>
  <si>
    <t>Firma:</t>
  </si>
  <si>
    <t>Aclaración:</t>
  </si>
  <si>
    <t>INFORME DE ENCARGADO DE PLANTA</t>
  </si>
  <si>
    <t>Para la red de distribución por frente al lote</t>
  </si>
  <si>
    <t>Casa construida en el año</t>
  </si>
  <si>
    <t>ENCARGADO DE PLANTA</t>
  </si>
  <si>
    <t>INFORME DE OFICINA DE OBRAS</t>
  </si>
  <si>
    <t>Corresponde instalar</t>
  </si>
  <si>
    <t>conexión</t>
  </si>
  <si>
    <t>Debe colocar medidor?</t>
  </si>
  <si>
    <t>Villa de Las Rosas,</t>
  </si>
  <si>
    <t>en la dirección</t>
  </si>
  <si>
    <t>INFORME DE PROPIEDAD</t>
  </si>
  <si>
    <t>Ubicación:</t>
  </si>
  <si>
    <t>Uso:</t>
  </si>
  <si>
    <t xml:space="preserve">manzana </t>
  </si>
  <si>
    <t>calle falsa 123</t>
  </si>
  <si>
    <t>villa de las rosas</t>
  </si>
  <si>
    <t>residencial</t>
  </si>
  <si>
    <t>guasmara 1</t>
  </si>
  <si>
    <t>T. Reserva</t>
  </si>
  <si>
    <t xml:space="preserve">Localidad </t>
  </si>
  <si>
    <t>Teléfono</t>
  </si>
  <si>
    <t>Conexión</t>
  </si>
  <si>
    <t>Informe Obras</t>
  </si>
  <si>
    <t>Colocar medidor</t>
  </si>
  <si>
    <t>normal</t>
  </si>
  <si>
    <t>Calle Norte</t>
  </si>
  <si>
    <t>Calle Sur</t>
  </si>
  <si>
    <t>Calle Este</t>
  </si>
  <si>
    <t>Calle Oeste</t>
  </si>
  <si>
    <t>Calles</t>
  </si>
  <si>
    <t>Guasmara</t>
  </si>
  <si>
    <t>Belgrano</t>
  </si>
  <si>
    <t>Ruta 14</t>
  </si>
  <si>
    <t>Boulevard</t>
  </si>
  <si>
    <t>Tiene servicio de agua?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</si>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</sst>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9" formatCode="[$-F800]dddd\,\ mmmm\ dd\,\ yyyy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b/>
      <sz val="8"/>
      <name val="Segoe UI"/>
      <family val="2"/>
    </font>
    <font>
      <b/>
      <sz val="10"/>
      <color rgb="FFFF0000"/>
      <name val="Segoe UI"/>
      <family val="2"/>
    </font>
    <font>
      <b/>
      <sz val="11"/>
      <name val="Segoe UI"/>
      <family val="2"/>
    </font>
    <font>
      <b/>
      <u/>
      <sz val="12"/>
      <name val="Segoe UI"/>
      <family val="2"/>
    </font>
    <font>
      <b/>
      <u/>
      <sz val="10"/>
      <name val="Segoe UI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lightUp">
        <fgColor indexed="31"/>
        <bgColor rgb="FFFFFF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NumberFormat="1" applyFont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6" fillId="0" borderId="0" xfId="0" applyFont="1" applyAlignment="1">
      <alignment horizontal="left" vertical="center" readingOrder="1"/>
    </xf>
    <xf numFmtId="0" fontId="7" fillId="2" borderId="0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readingOrder="1"/>
    </xf>
    <xf numFmtId="0" fontId="10" fillId="5" borderId="1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4" fillId="0" borderId="0" xfId="1" applyNumberFormat="1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4" fillId="0" borderId="1" xfId="1" applyNumberFormat="1" applyFont="1" applyFill="1" applyBorder="1" applyAlignment="1">
      <alignment vertical="center"/>
    </xf>
    <xf numFmtId="0" fontId="4" fillId="0" borderId="2" xfId="1" applyNumberFormat="1" applyFont="1" applyFill="1" applyBorder="1" applyAlignment="1">
      <alignment vertical="center"/>
    </xf>
    <xf numFmtId="0" fontId="4" fillId="0" borderId="0" xfId="0" applyFont="1" applyFill="1"/>
    <xf numFmtId="0" fontId="4" fillId="0" borderId="1" xfId="1" applyNumberFormat="1" applyFont="1" applyFill="1" applyBorder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/>
    </xf>
    <xf numFmtId="0" fontId="4" fillId="0" borderId="0" xfId="0" applyFont="1" applyFill="1" applyBorder="1"/>
    <xf numFmtId="0" fontId="4" fillId="0" borderId="2" xfId="0" applyFont="1" applyFill="1" applyBorder="1"/>
    <xf numFmtId="0" fontId="4" fillId="0" borderId="1" xfId="0" applyFont="1" applyFill="1" applyBorder="1"/>
    <xf numFmtId="0" fontId="4" fillId="0" borderId="0" xfId="0" applyFont="1"/>
    <xf numFmtId="0" fontId="4" fillId="0" borderId="1" xfId="0" applyFont="1" applyBorder="1"/>
    <xf numFmtId="0" fontId="4" fillId="0" borderId="0" xfId="0" applyFont="1" applyBorder="1"/>
    <xf numFmtId="0" fontId="4" fillId="0" borderId="2" xfId="0" applyFont="1" applyBorder="1"/>
    <xf numFmtId="0" fontId="10" fillId="5" borderId="1" xfId="0" applyNumberFormat="1" applyFont="1" applyFill="1" applyBorder="1" applyAlignment="1">
      <alignment horizontal="center"/>
    </xf>
    <xf numFmtId="0" fontId="10" fillId="5" borderId="0" xfId="0" applyNumberFormat="1" applyFont="1" applyFill="1" applyBorder="1" applyAlignment="1">
      <alignment horizontal="center"/>
    </xf>
    <xf numFmtId="0" fontId="10" fillId="5" borderId="2" xfId="0" applyNumberFormat="1" applyFont="1" applyFill="1" applyBorder="1" applyAlignment="1">
      <alignment horizontal="center"/>
    </xf>
    <xf numFmtId="0" fontId="4" fillId="0" borderId="0" xfId="0" applyNumberFormat="1" applyFont="1" applyFill="1" applyBorder="1"/>
    <xf numFmtId="0" fontId="4" fillId="0" borderId="2" xfId="0" applyNumberFormat="1" applyFont="1" applyFill="1" applyBorder="1"/>
    <xf numFmtId="0" fontId="4" fillId="0" borderId="1" xfId="0" applyNumberFormat="1" applyFont="1" applyFill="1" applyBorder="1"/>
    <xf numFmtId="0" fontId="4" fillId="0" borderId="0" xfId="0" applyNumberFormat="1" applyFont="1" applyFill="1"/>
    <xf numFmtId="0" fontId="4" fillId="0" borderId="0" xfId="0" applyNumberFormat="1" applyFont="1"/>
    <xf numFmtId="0" fontId="4" fillId="0" borderId="1" xfId="0" applyNumberFormat="1" applyFont="1" applyBorder="1"/>
    <xf numFmtId="0" fontId="4" fillId="0" borderId="0" xfId="0" applyNumberFormat="1" applyFont="1" applyBorder="1"/>
    <xf numFmtId="0" fontId="4" fillId="0" borderId="2" xfId="0" applyNumberFormat="1" applyFont="1" applyBorder="1"/>
    <xf numFmtId="0" fontId="6" fillId="0" borderId="0" xfId="0" applyFont="1" applyAlignment="1">
      <alignment vertical="center" readingOrder="1"/>
    </xf>
    <xf numFmtId="0" fontId="7" fillId="2" borderId="0" xfId="1" applyNumberFormat="1" applyFont="1" applyFill="1" applyBorder="1" applyAlignment="1">
      <alignment horizontal="left" vertical="center"/>
    </xf>
    <xf numFmtId="0" fontId="6" fillId="0" borderId="0" xfId="0" applyFont="1" applyBorder="1" applyAlignment="1">
      <alignment vertical="center" readingOrder="1"/>
    </xf>
    <xf numFmtId="0" fontId="6" fillId="0" borderId="0" xfId="0" applyFont="1" applyAlignment="1">
      <alignment horizontal="center" vertical="center" readingOrder="1"/>
    </xf>
    <xf numFmtId="0" fontId="6" fillId="4" borderId="0" xfId="0" applyFont="1" applyFill="1" applyAlignment="1">
      <alignment horizontal="left" vertical="center" readingOrder="1"/>
    </xf>
    <xf numFmtId="0" fontId="6" fillId="0" borderId="0" xfId="0" applyFont="1" applyFill="1" applyAlignment="1">
      <alignment vertical="center" readingOrder="1"/>
    </xf>
    <xf numFmtId="0" fontId="13" fillId="0" borderId="0" xfId="0" applyFont="1" applyFill="1" applyAlignment="1">
      <alignment vertical="center" readingOrder="1"/>
    </xf>
    <xf numFmtId="0" fontId="8" fillId="0" borderId="0" xfId="0" applyFont="1" applyFill="1" applyBorder="1" applyAlignment="1">
      <alignment vertical="center"/>
    </xf>
    <xf numFmtId="169" fontId="7" fillId="2" borderId="0" xfId="1" applyNumberFormat="1" applyFont="1" applyFill="1" applyBorder="1" applyAlignment="1">
      <alignment horizontal="center" vertical="center"/>
    </xf>
    <xf numFmtId="0" fontId="7" fillId="0" borderId="0" xfId="1" applyNumberFormat="1" applyFont="1" applyFill="1" applyBorder="1" applyAlignment="1">
      <alignment vertical="center"/>
    </xf>
    <xf numFmtId="0" fontId="11" fillId="0" borderId="0" xfId="0" applyFont="1" applyFill="1" applyBorder="1" applyAlignment="1">
      <alignment horizontal="center" vertical="center"/>
    </xf>
    <xf numFmtId="0" fontId="6" fillId="0" borderId="5" xfId="0" applyFont="1" applyBorder="1" applyAlignment="1">
      <alignment vertical="center" readingOrder="1"/>
    </xf>
    <xf numFmtId="0" fontId="6" fillId="0" borderId="10" xfId="0" applyFont="1" applyBorder="1" applyAlignment="1">
      <alignment vertical="center" readingOrder="1"/>
    </xf>
    <xf numFmtId="0" fontId="6" fillId="0" borderId="3" xfId="0" applyFont="1" applyBorder="1" applyAlignment="1">
      <alignment horizontal="distributed" vertical="center" readingOrder="1"/>
    </xf>
    <xf numFmtId="0" fontId="6" fillId="0" borderId="4" xfId="0" applyFont="1" applyBorder="1" applyAlignment="1">
      <alignment horizontal="distributed" vertical="center" readingOrder="1"/>
    </xf>
    <xf numFmtId="0" fontId="6" fillId="0" borderId="9" xfId="0" applyFont="1" applyBorder="1" applyAlignment="1">
      <alignment horizontal="distributed" vertical="center" readingOrder="1"/>
    </xf>
    <xf numFmtId="0" fontId="6" fillId="0" borderId="11" xfId="0" applyFont="1" applyBorder="1" applyAlignment="1">
      <alignment horizontal="distributed" vertical="center" readingOrder="1"/>
    </xf>
    <xf numFmtId="0" fontId="6" fillId="0" borderId="7" xfId="0" applyFont="1" applyBorder="1" applyAlignment="1">
      <alignment horizontal="distributed" vertical="center" readingOrder="1"/>
    </xf>
    <xf numFmtId="0" fontId="6" fillId="0" borderId="12" xfId="0" applyFont="1" applyBorder="1" applyAlignment="1">
      <alignment horizontal="distributed" vertical="center" readingOrder="1"/>
    </xf>
    <xf numFmtId="0" fontId="6" fillId="0" borderId="0" xfId="0" applyFont="1" applyAlignment="1">
      <alignment horizontal="distributed" vertical="center" readingOrder="1"/>
    </xf>
    <xf numFmtId="0" fontId="6" fillId="0" borderId="0" xfId="0" applyFont="1" applyBorder="1" applyAlignment="1">
      <alignment horizontal="distributed" vertical="center" readingOrder="1"/>
    </xf>
    <xf numFmtId="0" fontId="6" fillId="0" borderId="5" xfId="0" applyFont="1" applyBorder="1" applyAlignment="1">
      <alignment horizontal="distributed" vertical="center" readingOrder="1"/>
    </xf>
    <xf numFmtId="0" fontId="6" fillId="0" borderId="10" xfId="0" applyFont="1" applyBorder="1" applyAlignment="1">
      <alignment horizontal="distributed" vertical="center" readingOrder="1"/>
    </xf>
    <xf numFmtId="0" fontId="6" fillId="3" borderId="8" xfId="0" applyFont="1" applyFill="1" applyBorder="1" applyAlignment="1">
      <alignment vertical="center" readingOrder="1"/>
    </xf>
    <xf numFmtId="0" fontId="6" fillId="3" borderId="8" xfId="0" applyFont="1" applyFill="1" applyBorder="1" applyAlignment="1">
      <alignment horizontal="distributed" vertical="center" readingOrder="1"/>
    </xf>
    <xf numFmtId="0" fontId="6" fillId="3" borderId="0" xfId="0" applyFont="1" applyFill="1" applyAlignment="1">
      <alignment vertical="center" readingOrder="1"/>
    </xf>
    <xf numFmtId="0" fontId="6" fillId="3" borderId="0" xfId="0" applyFont="1" applyFill="1" applyBorder="1" applyAlignment="1">
      <alignment vertical="center" readingOrder="1"/>
    </xf>
    <xf numFmtId="0" fontId="6" fillId="3" borderId="6" xfId="0" applyFont="1" applyFill="1" applyBorder="1" applyAlignment="1">
      <alignment vertical="center" readingOrder="1"/>
    </xf>
    <xf numFmtId="0" fontId="6" fillId="3" borderId="3" xfId="0" applyFont="1" applyFill="1" applyBorder="1" applyAlignment="1">
      <alignment vertical="center" readingOrder="1"/>
    </xf>
    <xf numFmtId="0" fontId="6" fillId="3" borderId="5" xfId="0" applyFont="1" applyFill="1" applyBorder="1" applyAlignment="1">
      <alignment vertical="center" readingOrder="1"/>
    </xf>
    <xf numFmtId="0" fontId="6" fillId="3" borderId="5" xfId="0" applyFont="1" applyFill="1" applyBorder="1" applyAlignment="1">
      <alignment horizontal="distributed" vertical="center" readingOrder="1"/>
    </xf>
    <xf numFmtId="0" fontId="6" fillId="0" borderId="0" xfId="0" applyFont="1" applyAlignment="1">
      <alignment horizontal="right" vertical="center" readingOrder="1"/>
    </xf>
    <xf numFmtId="0" fontId="6" fillId="0" borderId="0" xfId="0" applyFont="1" applyAlignment="1">
      <alignment horizontal="distributed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0" xfId="0" applyFont="1" applyBorder="1" applyAlignment="1">
      <alignment horizontal="left" vertical="center" readingOrder="1"/>
    </xf>
    <xf numFmtId="0" fontId="12" fillId="0" borderId="0" xfId="0" applyFont="1" applyAlignment="1">
      <alignment horizontal="center" vertical="center" readingOrder="1"/>
    </xf>
    <xf numFmtId="0" fontId="8" fillId="0" borderId="0" xfId="0" applyFont="1" applyAlignment="1">
      <alignment horizontal="left" vertical="center" readingOrder="1"/>
    </xf>
    <xf numFmtId="0" fontId="9" fillId="0" borderId="0" xfId="0" applyFont="1" applyAlignment="1">
      <alignment horizontal="center" vertical="center" readingOrder="1"/>
    </xf>
    <xf numFmtId="0" fontId="9" fillId="3" borderId="0" xfId="0" applyFont="1" applyFill="1" applyAlignment="1">
      <alignment horizontal="center" vertical="center" readingOrder="1"/>
    </xf>
    <xf numFmtId="0" fontId="10" fillId="5" borderId="0" xfId="0" applyFont="1" applyFill="1" applyAlignment="1">
      <alignment horizontal="center"/>
    </xf>
    <xf numFmtId="0" fontId="10" fillId="3" borderId="0" xfId="0" applyNumberFormat="1" applyFont="1" applyFill="1" applyAlignment="1">
      <alignment horizontal="center"/>
    </xf>
    <xf numFmtId="0" fontId="10" fillId="3" borderId="1" xfId="0" applyNumberFormat="1" applyFont="1" applyFill="1" applyBorder="1" applyAlignment="1">
      <alignment horizontal="center"/>
    </xf>
    <xf numFmtId="0" fontId="10" fillId="3" borderId="0" xfId="0" applyNumberFormat="1" applyFont="1" applyFill="1" applyBorder="1" applyAlignment="1">
      <alignment horizontal="center"/>
    </xf>
    <xf numFmtId="0" fontId="10" fillId="3" borderId="2" xfId="0" applyNumberFormat="1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0" fillId="5" borderId="0" xfId="0" applyNumberFormat="1" applyFont="1" applyFill="1" applyAlignment="1">
      <alignment horizontal="center"/>
    </xf>
    <xf numFmtId="0" fontId="4" fillId="0" borderId="0" xfId="1" applyNumberFormat="1" applyFont="1" applyFill="1" applyBorder="1" applyAlignment="1">
      <alignment horizontal="left" vertical="center"/>
    </xf>
    <xf numFmtId="0" fontId="10" fillId="5" borderId="0" xfId="0" applyNumberFormat="1" applyFont="1" applyFill="1" applyAlignment="1">
      <alignment horizontal="left"/>
    </xf>
    <xf numFmtId="0" fontId="4" fillId="0" borderId="0" xfId="0" applyNumberFormat="1" applyFont="1" applyFill="1" applyAlignment="1">
      <alignment horizontal="left"/>
    </xf>
    <xf numFmtId="0" fontId="4" fillId="0" borderId="0" xfId="0" applyNumberFormat="1" applyFont="1" applyAlignment="1">
      <alignment horizontal="left"/>
    </xf>
    <xf numFmtId="0" fontId="10" fillId="5" borderId="0" xfId="0" applyNumberFormat="1" applyFont="1" applyFill="1" applyAlignment="1">
      <alignment horizontal="right"/>
    </xf>
    <xf numFmtId="0" fontId="4" fillId="0" borderId="0" xfId="1" applyNumberFormat="1" applyFont="1" applyFill="1" applyBorder="1" applyAlignment="1">
      <alignment horizontal="right" vertical="center"/>
    </xf>
    <xf numFmtId="0" fontId="4" fillId="0" borderId="0" xfId="0" applyNumberFormat="1" applyFont="1" applyFill="1" applyAlignment="1">
      <alignment horizontal="right"/>
    </xf>
    <xf numFmtId="0" fontId="4" fillId="0" borderId="0" xfId="0" applyNumberFormat="1" applyFont="1" applyAlignment="1">
      <alignment horizontal="right"/>
    </xf>
    <xf numFmtId="0" fontId="6" fillId="3" borderId="0" xfId="0" applyFont="1" applyFill="1" applyAlignment="1">
      <alignment horizontal="center" vertical="center" textRotation="90" readingOrder="1"/>
    </xf>
    <xf numFmtId="0" fontId="6" fillId="3" borderId="0" xfId="0" applyFont="1" applyFill="1" applyAlignment="1">
      <alignment horizontal="center" vertical="center" readingOrder="1"/>
    </xf>
    <xf numFmtId="0" fontId="6" fillId="3" borderId="0" xfId="0" applyFont="1" applyFill="1" applyBorder="1" applyAlignment="1">
      <alignment horizontal="center" vertical="center" readingOrder="1"/>
    </xf>
    <xf numFmtId="14" fontId="4" fillId="0" borderId="2" xfId="1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&#241;o%202013/ASISTENCIA%20PERSONAL/FEBRERO%202013/FEBRERO%20201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co"/>
      <sheetName val="Permanentes"/>
      <sheetName val="Contratados"/>
      <sheetName val="PEL"/>
      <sheetName val="Hoja1"/>
      <sheetName val="CARGARNOVEDADES"/>
      <sheetName val="Hoja2"/>
      <sheetName val="ADELANTOS"/>
      <sheetName val="Concejales"/>
      <sheetName val="PRESTAMOS S"/>
      <sheetName val="FEDERACION"/>
      <sheetName val="SITRAM"/>
      <sheetName val="Asiento"/>
      <sheetName val="CUADRO DE MANDO"/>
      <sheetName val="ASIGNACIONES FAMILIARES "/>
      <sheetName val="CALCULO ART "/>
      <sheetName val="Hoja3"/>
    </sheetNames>
    <sheetDataSet>
      <sheetData sheetId="0"/>
      <sheetData sheetId="1"/>
      <sheetData sheetId="2">
        <row r="1">
          <cell r="A1" t="str">
            <v>Apellido y Nombres</v>
          </cell>
        </row>
        <row r="2">
          <cell r="A2" t="str">
            <v>Zapata, Eliana Gisela</v>
          </cell>
        </row>
        <row r="3">
          <cell r="A3" t="str">
            <v>Vergara, Lilia Ines</v>
          </cell>
        </row>
        <row r="4">
          <cell r="A4" t="str">
            <v>Totales</v>
          </cell>
        </row>
        <row r="5">
          <cell r="A5" t="str">
            <v>Tapia, Omar</v>
          </cell>
        </row>
        <row r="6">
          <cell r="A6" t="str">
            <v>Sosa, María Alejandra</v>
          </cell>
        </row>
        <row r="7">
          <cell r="A7" t="str">
            <v>Sosa, Claudia Marta</v>
          </cell>
        </row>
        <row r="8">
          <cell r="A8" t="str">
            <v>Santillán, José</v>
          </cell>
        </row>
        <row r="9">
          <cell r="A9" t="str">
            <v>Sanchez, Carlos Adan</v>
          </cell>
        </row>
        <row r="10">
          <cell r="A10" t="str">
            <v>Sallefranque, Gladis</v>
          </cell>
        </row>
        <row r="11">
          <cell r="A11" t="str">
            <v>Ruiz Barruti, Princesa</v>
          </cell>
        </row>
        <row r="12">
          <cell r="A12" t="str">
            <v>Romero, Raquel</v>
          </cell>
        </row>
        <row r="13">
          <cell r="A13" t="str">
            <v>Romero, Mónica</v>
          </cell>
        </row>
        <row r="14">
          <cell r="A14" t="str">
            <v>Rodriguez, Mario Horacio</v>
          </cell>
        </row>
        <row r="15">
          <cell r="A15" t="str">
            <v>Rébora, Enrique Facundo</v>
          </cell>
        </row>
        <row r="16">
          <cell r="A16" t="str">
            <v>Ramirez, Luis</v>
          </cell>
        </row>
        <row r="17">
          <cell r="A17" t="str">
            <v>Ramirez, Facundo</v>
          </cell>
        </row>
        <row r="18">
          <cell r="A18" t="str">
            <v>Ramirez, Domingo Alberto</v>
          </cell>
        </row>
        <row r="19">
          <cell r="A19" t="str">
            <v>Ramirez, Diego Alberto</v>
          </cell>
        </row>
        <row r="20">
          <cell r="A20" t="str">
            <v>Ramirez, Adrian</v>
          </cell>
        </row>
        <row r="21">
          <cell r="A21" t="str">
            <v>Perez, Miriam Natalia</v>
          </cell>
        </row>
        <row r="22">
          <cell r="A22" t="str">
            <v>Perez, Matías</v>
          </cell>
        </row>
        <row r="23">
          <cell r="A23" t="str">
            <v>Perez, Erica Soledad</v>
          </cell>
        </row>
        <row r="24">
          <cell r="A24" t="str">
            <v>Pereyra Varas, Maria Celeste</v>
          </cell>
        </row>
        <row r="25">
          <cell r="A25" t="str">
            <v>Oviedo, Teresita</v>
          </cell>
        </row>
        <row r="26">
          <cell r="A26" t="str">
            <v>Oviedo, Pablo</v>
          </cell>
        </row>
        <row r="27">
          <cell r="A27" t="str">
            <v>ORTIZ, Carolina Cecilia del Rosario</v>
          </cell>
        </row>
        <row r="28">
          <cell r="A28" t="str">
            <v>Ortega, Matias Ezequiel</v>
          </cell>
        </row>
        <row r="29">
          <cell r="A29" t="str">
            <v>Ortega, Jorge Enrique</v>
          </cell>
        </row>
        <row r="30">
          <cell r="A30" t="str">
            <v>Olmedo, Mónica</v>
          </cell>
        </row>
        <row r="31">
          <cell r="A31" t="str">
            <v>Olmedo, Gabriela</v>
          </cell>
        </row>
        <row r="32">
          <cell r="A32" t="str">
            <v>Olmedo, Ariana Noelia</v>
          </cell>
        </row>
        <row r="33">
          <cell r="A33" t="str">
            <v>Olmedo, Alberto</v>
          </cell>
        </row>
        <row r="34">
          <cell r="A34" t="str">
            <v>Oliva, Laura Inés</v>
          </cell>
        </row>
        <row r="35">
          <cell r="A35" t="str">
            <v>Oliva, Guillermo</v>
          </cell>
        </row>
        <row r="36">
          <cell r="A36" t="str">
            <v>Muñoz, Susana Raquel</v>
          </cell>
        </row>
        <row r="37">
          <cell r="A37" t="str">
            <v>Mores, Nelson Exequiel</v>
          </cell>
        </row>
        <row r="38">
          <cell r="A38" t="str">
            <v>Montenegro, Luciana</v>
          </cell>
        </row>
        <row r="39">
          <cell r="A39" t="str">
            <v>Molina, Julio</v>
          </cell>
        </row>
        <row r="40">
          <cell r="A40" t="str">
            <v>Molina, Aldo</v>
          </cell>
        </row>
        <row r="41">
          <cell r="A41" t="str">
            <v>Manzone, Adrian Marcelo</v>
          </cell>
        </row>
        <row r="42">
          <cell r="A42" t="str">
            <v>Mancera, Maximiliano</v>
          </cell>
        </row>
        <row r="43">
          <cell r="A43" t="str">
            <v>López, Verónica Patricia</v>
          </cell>
        </row>
        <row r="44">
          <cell r="A44" t="str">
            <v>Ligorria, Claudia</v>
          </cell>
        </row>
        <row r="45">
          <cell r="A45" t="str">
            <v>Ligorria, Alejandro</v>
          </cell>
        </row>
        <row r="46">
          <cell r="A46" t="str">
            <v>Leyría, Rosario</v>
          </cell>
        </row>
        <row r="47">
          <cell r="A47" t="str">
            <v>Iriarte, Raul</v>
          </cell>
        </row>
        <row r="48">
          <cell r="A48" t="str">
            <v>Heredia, Maria Ines</v>
          </cell>
        </row>
        <row r="49">
          <cell r="A49" t="str">
            <v>Gómes, Celeste</v>
          </cell>
        </row>
        <row r="50">
          <cell r="A50" t="str">
            <v>Fúnes, Evangelina</v>
          </cell>
        </row>
        <row r="51">
          <cell r="A51" t="str">
            <v>Ferreyra, Celsa</v>
          </cell>
        </row>
        <row r="52">
          <cell r="A52" t="str">
            <v>Ferrero, Pablo Ariel</v>
          </cell>
        </row>
        <row r="53">
          <cell r="A53" t="str">
            <v>Escudero, Silvia</v>
          </cell>
        </row>
        <row r="54">
          <cell r="A54" t="str">
            <v>Dominguez, Pedro José</v>
          </cell>
        </row>
        <row r="55">
          <cell r="A55" t="str">
            <v>Ceballos, Miguel Antonio</v>
          </cell>
        </row>
        <row r="56">
          <cell r="A56" t="str">
            <v>Ceballos, Miguel Angel</v>
          </cell>
        </row>
        <row r="57">
          <cell r="A57" t="str">
            <v>Carabias, Gualberto Francisco</v>
          </cell>
        </row>
        <row r="58">
          <cell r="A58" t="str">
            <v>Bustos, Elena</v>
          </cell>
        </row>
        <row r="59">
          <cell r="A59" t="str">
            <v>Bustos Reynoso, Maria Antonella</v>
          </cell>
        </row>
        <row r="60">
          <cell r="A60" t="str">
            <v>Bonfiglio, María Esther</v>
          </cell>
        </row>
        <row r="61">
          <cell r="A61" t="str">
            <v>Bazán, Luis Antonio</v>
          </cell>
        </row>
        <row r="62">
          <cell r="A62" t="str">
            <v>Barroso, Mario Andres</v>
          </cell>
        </row>
        <row r="63">
          <cell r="A63" t="str">
            <v>Avila, Silvia Graciela</v>
          </cell>
        </row>
        <row r="64">
          <cell r="A64" t="str">
            <v>Avaca, Walter Emir</v>
          </cell>
        </row>
        <row r="65">
          <cell r="A65" t="str">
            <v>Astorga, Andrés</v>
          </cell>
        </row>
        <row r="66">
          <cell r="A66" t="str">
            <v>Assis, Victor</v>
          </cell>
        </row>
        <row r="67">
          <cell r="A67" t="str">
            <v>Arguello, Victor Oscar</v>
          </cell>
        </row>
        <row r="68">
          <cell r="A68" t="str">
            <v>Arguello, Rubén Guillermo</v>
          </cell>
        </row>
        <row r="69">
          <cell r="A69" t="str">
            <v>Arguello, Giselle</v>
          </cell>
        </row>
        <row r="70">
          <cell r="A70" t="str">
            <v>Altamirano, Mauricio Gaston</v>
          </cell>
        </row>
        <row r="71">
          <cell r="A71" t="str">
            <v>Altamirano, Daniel</v>
          </cell>
        </row>
        <row r="72">
          <cell r="A72" t="str">
            <v>Aguirre, Claudio Manuel</v>
          </cell>
        </row>
        <row r="73">
          <cell r="A73" t="str">
            <v>Bringas, Exequiel Matias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 t="str">
            <v>PARA ART</v>
          </cell>
        </row>
        <row r="84">
          <cell r="A84" t="str">
            <v>Albornoz, Leonardo</v>
          </cell>
        </row>
        <row r="85">
          <cell r="A85" t="str">
            <v>Andrada, Carlos Enrique</v>
          </cell>
        </row>
        <row r="86">
          <cell r="A86" t="str">
            <v>Baigorria, Mario Humberto</v>
          </cell>
        </row>
        <row r="87">
          <cell r="A87" t="str">
            <v>Barruty, Nancy</v>
          </cell>
        </row>
        <row r="88">
          <cell r="A88" t="str">
            <v>Castro, Mónica Marcela</v>
          </cell>
        </row>
        <row r="89">
          <cell r="A89" t="str">
            <v>Cejas, Mario</v>
          </cell>
        </row>
        <row r="90">
          <cell r="A90" t="str">
            <v xml:space="preserve">Ferrero, Fabian </v>
          </cell>
        </row>
        <row r="91">
          <cell r="A91" t="str">
            <v>Escudero, Marcela</v>
          </cell>
        </row>
        <row r="92">
          <cell r="A92" t="str">
            <v>Fozzatti, Julio Alberto</v>
          </cell>
        </row>
        <row r="93">
          <cell r="A93" t="str">
            <v>Gallardo, Hipólito</v>
          </cell>
        </row>
        <row r="94">
          <cell r="A94" t="str">
            <v>Hualpa, Cesar</v>
          </cell>
        </row>
        <row r="95">
          <cell r="A95" t="str">
            <v>Leyría, Luis Alberto</v>
          </cell>
        </row>
        <row r="96">
          <cell r="A96" t="str">
            <v>Maldonado, Victor Hugo</v>
          </cell>
        </row>
        <row r="97">
          <cell r="A97" t="str">
            <v>Maldonado, Walter</v>
          </cell>
        </row>
        <row r="98">
          <cell r="A98" t="str">
            <v>Miranda, Carlos</v>
          </cell>
        </row>
        <row r="99">
          <cell r="A99" t="str">
            <v>Miranda, María Esther</v>
          </cell>
        </row>
        <row r="100">
          <cell r="A100" t="str">
            <v>Miranda, Carolina</v>
          </cell>
        </row>
        <row r="101">
          <cell r="A101" t="str">
            <v>Olmedo, Victor Daniel</v>
          </cell>
        </row>
        <row r="102">
          <cell r="A102" t="str">
            <v>Ortiz, Flora del Valle</v>
          </cell>
        </row>
        <row r="103">
          <cell r="A103" t="str">
            <v>Ortiz, José Dionisio</v>
          </cell>
        </row>
        <row r="104">
          <cell r="A104" t="str">
            <v>Oviedo, Javier Omar</v>
          </cell>
        </row>
        <row r="105">
          <cell r="A105" t="str">
            <v>Oviedo, Jorge Eduardo</v>
          </cell>
        </row>
        <row r="106">
          <cell r="A106" t="str">
            <v>Pereyra, Jorge Omar</v>
          </cell>
        </row>
        <row r="107">
          <cell r="A107" t="str">
            <v>Rébora, Enrique Rodolfo</v>
          </cell>
        </row>
        <row r="108">
          <cell r="A108" t="str">
            <v>Rivero, Julio Cesar</v>
          </cell>
        </row>
        <row r="109">
          <cell r="A109" t="str">
            <v>Roveres, Martín</v>
          </cell>
        </row>
        <row r="110">
          <cell r="A110" t="str">
            <v>Salgado, Carlos Alberto</v>
          </cell>
        </row>
        <row r="111">
          <cell r="A111" t="str">
            <v>Sosa, Angel Eduardo</v>
          </cell>
        </row>
        <row r="112">
          <cell r="A112" t="str">
            <v>Sosa, Noel Armando</v>
          </cell>
        </row>
        <row r="113">
          <cell r="A113" t="str">
            <v>Vallejo, Carlos Rufino</v>
          </cell>
        </row>
        <row r="114">
          <cell r="A114" t="str">
            <v>Yriarte, Marisa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 t="str">
            <v>Olmedo, Raul Alberto</v>
          </cell>
        </row>
        <row r="118">
          <cell r="A118" t="str">
            <v>Fozzatti, Julio Alberto</v>
          </cell>
        </row>
        <row r="119">
          <cell r="A119" t="str">
            <v>Bazán, Fabio</v>
          </cell>
        </row>
        <row r="120">
          <cell r="A120" t="str">
            <v>Olmos, Angélica</v>
          </cell>
        </row>
        <row r="121">
          <cell r="A121" t="str">
            <v>Altamirano, Viviana</v>
          </cell>
        </row>
        <row r="122">
          <cell r="A122" t="str">
            <v>Avaca, Elsa Rosa</v>
          </cell>
        </row>
        <row r="123">
          <cell r="A123" t="str">
            <v>Lopez, Maria Fernanda</v>
          </cell>
        </row>
        <row r="124">
          <cell r="A124" t="str">
            <v>Reymundo, Rodolfo Rogelio</v>
          </cell>
        </row>
        <row r="125">
          <cell r="A125" t="str">
            <v>Arrascaeta, Raul Abel</v>
          </cell>
        </row>
        <row r="126">
          <cell r="A126" t="str">
            <v>Cruz, Judith</v>
          </cell>
        </row>
      </sheetData>
      <sheetData sheetId="3"/>
      <sheetData sheetId="4"/>
      <sheetData sheetId="5"/>
      <sheetData sheetId="6"/>
      <sheetData sheetId="7">
        <row r="93">
          <cell r="A93" t="str">
            <v>Olmedo, Raul Alberto</v>
          </cell>
        </row>
        <row r="94">
          <cell r="A94" t="str">
            <v>Oliva, Guillermo</v>
          </cell>
        </row>
        <row r="95">
          <cell r="A95" t="str">
            <v>Oliva, Guillermo</v>
          </cell>
        </row>
        <row r="96">
          <cell r="A96" t="str">
            <v>Muñoz, Susana Raquel</v>
          </cell>
        </row>
        <row r="97">
          <cell r="A97" t="str">
            <v>Montenegro, Luciana</v>
          </cell>
        </row>
        <row r="98">
          <cell r="A98" t="str">
            <v>Molina, Aldo</v>
          </cell>
        </row>
        <row r="99">
          <cell r="A99" t="str">
            <v>Miranda, Carolina</v>
          </cell>
        </row>
        <row r="100">
          <cell r="A100" t="str">
            <v>Miranda, Carolina</v>
          </cell>
        </row>
        <row r="101">
          <cell r="A101" t="str">
            <v>Miranda, Carolina</v>
          </cell>
        </row>
        <row r="102">
          <cell r="A102" t="str">
            <v>Manzone, Adrian Marcelo</v>
          </cell>
        </row>
        <row r="103">
          <cell r="A103" t="str">
            <v>Mancera, Maximiliano</v>
          </cell>
        </row>
        <row r="104">
          <cell r="A104" t="str">
            <v>Maldonado, Walter</v>
          </cell>
        </row>
        <row r="105">
          <cell r="A105" t="str">
            <v>Maldonado, Victor Hugo</v>
          </cell>
        </row>
        <row r="106">
          <cell r="A106" t="str">
            <v>Maldonado, Victor Hugo</v>
          </cell>
        </row>
        <row r="107">
          <cell r="A107" t="str">
            <v>Leyría, Luis Alberto</v>
          </cell>
        </row>
        <row r="108">
          <cell r="A108" t="str">
            <v>Leyría, Luis Alberto</v>
          </cell>
        </row>
        <row r="109">
          <cell r="A109" t="str">
            <v>Hualpa, Cesar</v>
          </cell>
        </row>
        <row r="110">
          <cell r="A110" t="str">
            <v>Heredia, Maria Ines</v>
          </cell>
        </row>
        <row r="111">
          <cell r="A111" t="str">
            <v>Fúnes, Evangelina</v>
          </cell>
        </row>
        <row r="112">
          <cell r="A112" t="str">
            <v>Fúnes, Evangelina</v>
          </cell>
        </row>
        <row r="113">
          <cell r="A113" t="str">
            <v>Fúnes, Evangelina</v>
          </cell>
        </row>
        <row r="114">
          <cell r="A114" t="str">
            <v>Fúnes, Evangelina</v>
          </cell>
        </row>
        <row r="115">
          <cell r="A115" t="str">
            <v>Fúnes, Evangelina</v>
          </cell>
        </row>
        <row r="116">
          <cell r="A116" t="str">
            <v>Ferreyra, Celsa</v>
          </cell>
        </row>
        <row r="117">
          <cell r="A117" t="str">
            <v xml:space="preserve">Ferrero, Fabian </v>
          </cell>
        </row>
        <row r="118">
          <cell r="A118" t="str">
            <v xml:space="preserve">Ferrero, Fabian </v>
          </cell>
        </row>
        <row r="119">
          <cell r="A119" t="str">
            <v xml:space="preserve">Ferrero, Fabian </v>
          </cell>
        </row>
        <row r="120">
          <cell r="A120" t="str">
            <v xml:space="preserve">Ferrero, Fabian </v>
          </cell>
        </row>
        <row r="121">
          <cell r="A121" t="str">
            <v xml:space="preserve">Ferrero, Fabian </v>
          </cell>
        </row>
        <row r="122">
          <cell r="A122" t="str">
            <v xml:space="preserve">Ferrero, Fabian </v>
          </cell>
        </row>
        <row r="123">
          <cell r="A123" t="str">
            <v xml:space="preserve">Ferrero, Fabian </v>
          </cell>
        </row>
        <row r="124">
          <cell r="A124" t="str">
            <v xml:space="preserve">Ferrero, Fabian </v>
          </cell>
        </row>
        <row r="125">
          <cell r="A125" t="str">
            <v>Escudero, Silvia</v>
          </cell>
        </row>
        <row r="126">
          <cell r="A126" t="str">
            <v>Escudero, Marcela</v>
          </cell>
        </row>
        <row r="127">
          <cell r="A127" t="str">
            <v>Escudero, Marcela</v>
          </cell>
        </row>
        <row r="128">
          <cell r="A128" t="str">
            <v>Ceballos, Miguel Antonio</v>
          </cell>
        </row>
        <row r="129">
          <cell r="A129" t="str">
            <v>Ceballos, Miguel Antonio</v>
          </cell>
        </row>
        <row r="130">
          <cell r="A130" t="str">
            <v>Ceballos, Miguel Antonio</v>
          </cell>
        </row>
        <row r="131">
          <cell r="A131" t="str">
            <v>Bustos Reynoso, Maria Antonella</v>
          </cell>
        </row>
        <row r="132">
          <cell r="A132" t="str">
            <v>Bustos Reynoso, Maria Antonella</v>
          </cell>
        </row>
        <row r="133">
          <cell r="A133" t="str">
            <v>Bazán, Fabio</v>
          </cell>
        </row>
        <row r="134">
          <cell r="A134" t="str">
            <v>Bazán, Fabio</v>
          </cell>
        </row>
        <row r="135">
          <cell r="A135" t="str">
            <v>Barroso, Mario Andres</v>
          </cell>
        </row>
        <row r="136">
          <cell r="A136" t="str">
            <v>Barroso, Mario Andres</v>
          </cell>
        </row>
        <row r="137">
          <cell r="A137" t="str">
            <v>Barroso, Mario Andres</v>
          </cell>
        </row>
        <row r="138">
          <cell r="A138" t="str">
            <v>Baigorria, Mario Humberto</v>
          </cell>
        </row>
        <row r="139">
          <cell r="A139" t="str">
            <v>Baigorria, Mario Humberto</v>
          </cell>
        </row>
        <row r="140">
          <cell r="A140" t="str">
            <v>Astorga, Andrés</v>
          </cell>
        </row>
        <row r="141">
          <cell r="A141" t="str">
            <v>Arguello, Victor Oscar</v>
          </cell>
        </row>
        <row r="142">
          <cell r="A142" t="str">
            <v>Arguello, Giselle</v>
          </cell>
        </row>
        <row r="143">
          <cell r="A143" t="str">
            <v>Andrada, Carlos Enrique</v>
          </cell>
        </row>
        <row r="144">
          <cell r="A144" t="str">
            <v>Altamirano, Mauricio Gaston</v>
          </cell>
        </row>
        <row r="145">
          <cell r="A145" t="str">
            <v>Albornoz, Leonardo</v>
          </cell>
        </row>
        <row r="146">
          <cell r="A146" t="str">
            <v>Albornoz, Leonardo</v>
          </cell>
        </row>
        <row r="147">
          <cell r="A147" t="str">
            <v>Albornoz, Leonardo</v>
          </cell>
        </row>
        <row r="148">
          <cell r="A148" t="str">
            <v>Albornoz, Leonardo</v>
          </cell>
        </row>
        <row r="149">
          <cell r="A149" t="str">
            <v>Albornoz, Leonardo</v>
          </cell>
        </row>
        <row r="150">
          <cell r="A150" t="str">
            <v>Albornoz, Leonardo</v>
          </cell>
        </row>
        <row r="151">
          <cell r="A151" t="str">
            <v>Albornoz, Leonardo</v>
          </cell>
        </row>
        <row r="152">
          <cell r="A152" t="str">
            <v>Aguirre, Claudio Manuel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BH150"/>
  <sheetViews>
    <sheetView tabSelected="1" showWhiteSpace="0" topLeftCell="A19" zoomScale="151" zoomScaleNormal="151" workbookViewId="0">
      <selection activeCell="A3" sqref="A3:XFD3"/>
    </sheetView>
  </sheetViews>
  <sheetFormatPr baseColWidth="10" defaultColWidth="2.42578125" defaultRowHeight="12.75" customHeight="1" x14ac:dyDescent="0.2"/>
  <cols>
    <col min="1" max="18" width="2.42578125" style="7" customWidth="1"/>
    <col min="19" max="19" width="2.42578125" style="2" customWidth="1"/>
    <col min="20" max="27" width="2.42578125" style="7" customWidth="1"/>
    <col min="28" max="28" width="2.140625" style="7" customWidth="1"/>
    <col min="29" max="49" width="2.42578125" style="7"/>
    <col min="50" max="50" width="5.140625" style="7" bestFit="1" customWidth="1"/>
    <col min="51" max="16384" width="2.42578125" style="7"/>
  </cols>
  <sheetData>
    <row r="1" spans="2:40" ht="7.5" customHeight="1" x14ac:dyDescent="0.2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2:40" ht="12.75" customHeight="1" x14ac:dyDescent="0.2">
      <c r="B2" s="70" t="s">
        <v>19</v>
      </c>
      <c r="C2" s="70"/>
      <c r="D2" s="70"/>
      <c r="E2" s="70"/>
      <c r="F2" s="70"/>
      <c r="G2" s="70"/>
      <c r="H2" s="9" t="str">
        <f ca="1">INDIRECT("Registro!A" &amp; I67)</f>
        <v xml:space="preserve">asd asd 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71" t="s">
        <v>22</v>
      </c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</row>
    <row r="3" spans="2:40" ht="7.5" customHeight="1" x14ac:dyDescent="0.2"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</row>
    <row r="4" spans="2:40" ht="12.75" customHeight="1" x14ac:dyDescent="0.2">
      <c r="B4" s="71" t="s">
        <v>23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</row>
    <row r="5" spans="2:40" ht="7.5" customHeight="1" x14ac:dyDescent="0.2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</row>
    <row r="6" spans="2:40" ht="12.75" customHeight="1" x14ac:dyDescent="0.2">
      <c r="B6" s="71" t="s">
        <v>24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</row>
    <row r="7" spans="2:40" ht="7.5" customHeight="1" x14ac:dyDescent="0.2"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</row>
    <row r="8" spans="2:40" ht="12.75" customHeight="1" x14ac:dyDescent="0.2">
      <c r="B8" s="42" t="s">
        <v>25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9">
        <f ca="1">INDIRECT("Registro!B" &amp; I67)</f>
        <v>1</v>
      </c>
      <c r="U8" s="9"/>
      <c r="V8" s="42" t="s">
        <v>26</v>
      </c>
      <c r="W8" s="42"/>
      <c r="X8" s="42"/>
      <c r="Y8" s="42"/>
      <c r="Z8" s="9">
        <f ca="1">INDIRECT("Registro!C" &amp; I67)</f>
        <v>2</v>
      </c>
      <c r="AA8" s="9"/>
      <c r="AB8" s="42" t="s">
        <v>52</v>
      </c>
      <c r="AC8" s="42"/>
      <c r="AD8" s="42"/>
      <c r="AE8" s="42"/>
      <c r="AF8" s="42"/>
      <c r="AG8" s="42"/>
      <c r="AH8" s="42"/>
    </row>
    <row r="9" spans="2:40" ht="7.5" customHeight="1" x14ac:dyDescent="0.2"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</row>
    <row r="10" spans="2:40" ht="12.75" customHeight="1" x14ac:dyDescent="0.2">
      <c r="B10" s="9" t="str">
        <f ca="1">INDIRECT("Registro!D" &amp; I67)</f>
        <v>calle falsa 123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3"/>
    </row>
    <row r="11" spans="2:40" ht="7.5" customHeight="1" x14ac:dyDescent="0.2"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</row>
    <row r="12" spans="2:40" ht="12.75" customHeight="1" x14ac:dyDescent="0.2">
      <c r="B12" s="42" t="s">
        <v>0</v>
      </c>
      <c r="C12" s="42"/>
      <c r="D12" s="42"/>
      <c r="E12" s="42"/>
      <c r="F12" s="42"/>
      <c r="G12" s="42"/>
      <c r="H12" s="42"/>
      <c r="I12" s="9" t="str">
        <f ca="1">INDIRECT("Registro!E" &amp; I67)</f>
        <v>villa de las rosas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"/>
    </row>
    <row r="13" spans="2:40" ht="7.5" customHeight="1" x14ac:dyDescent="0.2"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</row>
    <row r="14" spans="2:40" ht="12.75" customHeight="1" x14ac:dyDescent="0.2">
      <c r="B14" s="42" t="s">
        <v>28</v>
      </c>
      <c r="C14" s="42"/>
      <c r="D14" s="42"/>
      <c r="E14" s="42"/>
      <c r="F14" s="9">
        <f ca="1">INDIRECT("Registro!F" &amp; I67)</f>
        <v>12</v>
      </c>
      <c r="G14" s="9"/>
      <c r="H14" s="9"/>
      <c r="I14" s="42" t="s">
        <v>29</v>
      </c>
      <c r="J14" s="42"/>
      <c r="K14" s="42"/>
      <c r="L14" s="42"/>
      <c r="M14" s="42"/>
      <c r="N14" s="42"/>
      <c r="O14" s="42"/>
      <c r="P14" s="9">
        <f ca="1">INDIRECT("Registro!G" &amp; I67)</f>
        <v>34</v>
      </c>
      <c r="Q14" s="9"/>
      <c r="R14" s="9"/>
      <c r="S14" s="42" t="s">
        <v>30</v>
      </c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3"/>
    </row>
    <row r="15" spans="2:40" ht="7.5" customHeight="1" x14ac:dyDescent="0.2"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</row>
    <row r="16" spans="2:40" ht="12.75" customHeight="1" x14ac:dyDescent="0.2">
      <c r="B16" s="9">
        <f ca="1">F14*P14</f>
        <v>408</v>
      </c>
      <c r="C16" s="9"/>
      <c r="D16" s="9"/>
      <c r="E16" s="42" t="s">
        <v>31</v>
      </c>
      <c r="F16" s="42"/>
      <c r="G16" s="42" t="s">
        <v>32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9" t="str">
        <f ca="1">INDIRECT("Registro!H" &amp; I67)</f>
        <v>residencial</v>
      </c>
      <c r="AC16" s="9"/>
      <c r="AD16" s="9"/>
      <c r="AE16" s="9"/>
      <c r="AF16" s="9"/>
      <c r="AG16" s="9"/>
      <c r="AH16" s="9"/>
      <c r="AI16" s="3"/>
      <c r="AJ16" s="3"/>
      <c r="AK16" s="3"/>
      <c r="AL16" s="3"/>
      <c r="AM16" s="3"/>
      <c r="AN16" s="3"/>
    </row>
    <row r="17" spans="2:36" ht="7.5" customHeight="1" x14ac:dyDescent="0.2"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</row>
    <row r="18" spans="2:36" ht="12.75" customHeight="1" x14ac:dyDescent="0.2">
      <c r="B18" s="71" t="s">
        <v>33</v>
      </c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3"/>
    </row>
    <row r="19" spans="2:36" ht="7.5" customHeight="1" x14ac:dyDescent="0.2"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</row>
    <row r="20" spans="2:36" ht="12.75" customHeight="1" x14ac:dyDescent="0.2">
      <c r="B20" s="10" t="s">
        <v>34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3"/>
    </row>
    <row r="21" spans="2:36" ht="7.5" customHeight="1" x14ac:dyDescent="0.2">
      <c r="B21" s="58"/>
      <c r="C21" s="58"/>
      <c r="D21" s="58"/>
      <c r="E21" s="58"/>
      <c r="F21" s="58"/>
      <c r="G21" s="59"/>
      <c r="H21" s="59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</row>
    <row r="22" spans="2:36" ht="12.75" customHeight="1" x14ac:dyDescent="0.2">
      <c r="B22" s="39"/>
      <c r="C22" s="50"/>
      <c r="D22" s="62"/>
      <c r="E22" s="51"/>
      <c r="F22" s="41"/>
      <c r="G22" s="41"/>
      <c r="H22" s="41"/>
      <c r="I22" s="50"/>
      <c r="J22" s="68"/>
      <c r="K22" s="51"/>
      <c r="L22" s="41"/>
      <c r="M22" s="39"/>
      <c r="N22" s="49" t="s">
        <v>53</v>
      </c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3"/>
    </row>
    <row r="23" spans="2:36" ht="7.5" customHeight="1" thickBot="1" x14ac:dyDescent="0.25">
      <c r="B23" s="52"/>
      <c r="C23" s="53"/>
      <c r="D23" s="63"/>
      <c r="E23" s="54"/>
      <c r="F23" s="52"/>
      <c r="G23" s="52"/>
      <c r="H23" s="52"/>
      <c r="I23" s="53"/>
      <c r="J23" s="96" t="str">
        <f ca="1">INDIRECT("Registro!K" &amp; I67)</f>
        <v>Guasmara</v>
      </c>
      <c r="K23" s="54"/>
      <c r="L23" s="52"/>
      <c r="M23" s="59"/>
      <c r="S23" s="7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</row>
    <row r="24" spans="2:36" ht="12.75" customHeight="1" thickBot="1" x14ac:dyDescent="0.25">
      <c r="B24" s="66"/>
      <c r="C24" s="97" t="str">
        <f ca="1">INDIRECT("Registro!I" &amp; I67)</f>
        <v>Ruta 14</v>
      </c>
      <c r="D24" s="97"/>
      <c r="E24" s="97"/>
      <c r="F24" s="97"/>
      <c r="G24" s="97"/>
      <c r="H24" s="97"/>
      <c r="I24" s="64"/>
      <c r="J24" s="96"/>
      <c r="K24" s="65"/>
      <c r="L24" s="67"/>
      <c r="M24" s="41"/>
      <c r="N24" s="10" t="s">
        <v>54</v>
      </c>
      <c r="O24" s="10"/>
      <c r="P24" s="10"/>
      <c r="Q24" s="10"/>
      <c r="R24" s="9" t="str">
        <f ca="1">INDIRECT("Registro!M" &amp; I67)</f>
        <v>guasmara 1</v>
      </c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3"/>
      <c r="AJ24" s="3"/>
    </row>
    <row r="25" spans="2:36" ht="7.5" customHeight="1" x14ac:dyDescent="0.2">
      <c r="B25" s="55"/>
      <c r="C25" s="56"/>
      <c r="D25" s="63"/>
      <c r="E25" s="57"/>
      <c r="F25" s="55"/>
      <c r="G25" s="55"/>
      <c r="H25" s="55"/>
      <c r="I25" s="56"/>
      <c r="J25" s="96"/>
      <c r="K25" s="57"/>
      <c r="L25" s="58"/>
      <c r="M25" s="59"/>
      <c r="N25" s="59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</row>
    <row r="26" spans="2:36" ht="12.75" customHeight="1" x14ac:dyDescent="0.2">
      <c r="B26" s="39"/>
      <c r="C26" s="50"/>
      <c r="D26" s="96" t="str">
        <f ca="1">INDIRECT("Registro!L" &amp; I67)</f>
        <v>Boulevard</v>
      </c>
      <c r="E26" s="51"/>
      <c r="F26" s="41"/>
      <c r="G26" s="41"/>
      <c r="H26" s="41"/>
      <c r="I26" s="50"/>
      <c r="J26" s="96"/>
      <c r="K26" s="51"/>
      <c r="L26" s="41"/>
      <c r="M26" s="41"/>
      <c r="N26" s="72" t="s">
        <v>55</v>
      </c>
      <c r="O26" s="72"/>
      <c r="P26" s="72"/>
      <c r="Q26" s="72"/>
      <c r="R26" s="9" t="str">
        <f ca="1">INDIRECT("Registro!N" &amp; I67)</f>
        <v>residencial</v>
      </c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</row>
    <row r="27" spans="2:36" ht="7.5" customHeight="1" x14ac:dyDescent="0.2">
      <c r="B27" s="59"/>
      <c r="C27" s="60"/>
      <c r="D27" s="96"/>
      <c r="E27" s="61"/>
      <c r="F27" s="59"/>
      <c r="G27" s="59"/>
      <c r="H27" s="59"/>
      <c r="I27" s="60"/>
      <c r="J27" s="96"/>
      <c r="K27" s="61"/>
      <c r="L27" s="59"/>
      <c r="M27" s="59"/>
      <c r="N27" s="59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</row>
    <row r="28" spans="2:36" ht="12.75" customHeight="1" x14ac:dyDescent="0.2">
      <c r="B28" s="41"/>
      <c r="C28" s="50"/>
      <c r="D28" s="96"/>
      <c r="E28" s="51"/>
      <c r="F28" s="41"/>
      <c r="G28" s="41"/>
      <c r="H28" s="41"/>
      <c r="I28" s="50"/>
      <c r="J28" s="96"/>
      <c r="K28" s="51"/>
      <c r="L28" s="41"/>
      <c r="M28" s="41"/>
      <c r="N28" s="72" t="s">
        <v>35</v>
      </c>
      <c r="O28" s="72"/>
      <c r="P28" s="72"/>
      <c r="Q28" s="72"/>
      <c r="R28" s="72"/>
      <c r="S28" s="72"/>
      <c r="T28" s="72"/>
      <c r="U28" s="72"/>
      <c r="V28" s="72"/>
      <c r="W28" s="9">
        <f ca="1">INDIRECT("Registro!O" &amp; I67)</f>
        <v>3</v>
      </c>
      <c r="X28" s="9"/>
      <c r="Y28" s="9"/>
    </row>
    <row r="29" spans="2:36" ht="7.5" customHeight="1" x14ac:dyDescent="0.2">
      <c r="B29" s="59"/>
      <c r="C29" s="60"/>
      <c r="D29" s="96"/>
      <c r="E29" s="61"/>
      <c r="F29" s="59"/>
      <c r="G29" s="59"/>
      <c r="H29" s="59"/>
      <c r="I29" s="60"/>
      <c r="J29" s="96"/>
      <c r="K29" s="61"/>
      <c r="L29" s="59"/>
      <c r="M29" s="59"/>
      <c r="N29" s="73"/>
      <c r="O29" s="73"/>
      <c r="P29" s="8"/>
      <c r="Q29" s="8"/>
      <c r="R29" s="8"/>
      <c r="S29" s="8"/>
      <c r="T29" s="8"/>
      <c r="U29" s="8"/>
      <c r="V29" s="8"/>
      <c r="W29" s="58"/>
      <c r="X29" s="58"/>
      <c r="Y29" s="58"/>
    </row>
    <row r="30" spans="2:36" ht="12.75" customHeight="1" x14ac:dyDescent="0.2">
      <c r="B30" s="39"/>
      <c r="C30" s="50"/>
      <c r="D30" s="96"/>
      <c r="E30" s="51"/>
      <c r="F30" s="41"/>
      <c r="G30" s="41"/>
      <c r="H30" s="41"/>
      <c r="I30" s="50"/>
      <c r="J30" s="96"/>
      <c r="K30" s="51"/>
      <c r="L30" s="39"/>
      <c r="M30" s="41"/>
      <c r="N30" s="72" t="s">
        <v>36</v>
      </c>
      <c r="O30" s="72"/>
      <c r="P30" s="72"/>
      <c r="Q30" s="72"/>
      <c r="R30" s="72"/>
      <c r="S30" s="72"/>
      <c r="T30" s="72"/>
      <c r="U30" s="73"/>
      <c r="V30" s="8"/>
      <c r="W30" s="9" t="str">
        <f ca="1">INDIRECT("Registro!P" &amp; I67)</f>
        <v>si</v>
      </c>
      <c r="X30" s="9"/>
      <c r="Y30" s="9"/>
    </row>
    <row r="31" spans="2:36" ht="7.5" customHeight="1" thickBot="1" x14ac:dyDescent="0.25">
      <c r="B31" s="52"/>
      <c r="C31" s="53"/>
      <c r="D31" s="96"/>
      <c r="E31" s="54"/>
      <c r="F31" s="52"/>
      <c r="G31" s="52"/>
      <c r="H31" s="52"/>
      <c r="I31" s="53"/>
      <c r="J31" s="69"/>
      <c r="K31" s="54"/>
      <c r="L31" s="52"/>
      <c r="M31" s="59"/>
      <c r="S31" s="7"/>
    </row>
    <row r="32" spans="2:36" ht="12.75" customHeight="1" thickBot="1" x14ac:dyDescent="0.25">
      <c r="B32" s="66"/>
      <c r="C32" s="66"/>
      <c r="D32" s="96"/>
      <c r="E32" s="67"/>
      <c r="F32" s="98" t="str">
        <f ca="1">INDIRECT("Registro!J" &amp; I67)</f>
        <v>Belgrano</v>
      </c>
      <c r="G32" s="98"/>
      <c r="H32" s="98"/>
      <c r="I32" s="98"/>
      <c r="J32" s="98"/>
      <c r="K32" s="98"/>
      <c r="L32" s="65"/>
      <c r="M32" s="41"/>
      <c r="S32" s="7"/>
    </row>
    <row r="33" spans="2:60" ht="7.5" customHeight="1" x14ac:dyDescent="0.2">
      <c r="B33" s="58"/>
      <c r="C33" s="56"/>
      <c r="D33" s="96"/>
      <c r="E33" s="57"/>
      <c r="F33" s="55"/>
      <c r="G33" s="55"/>
      <c r="H33" s="55"/>
      <c r="I33" s="56"/>
      <c r="J33" s="63"/>
      <c r="K33" s="57"/>
      <c r="L33" s="55"/>
      <c r="M33" s="59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</row>
    <row r="34" spans="2:60" ht="12.75" customHeight="1" x14ac:dyDescent="0.2">
      <c r="B34" s="39"/>
      <c r="C34" s="50"/>
      <c r="D34" s="62"/>
      <c r="E34" s="39"/>
      <c r="F34" s="39"/>
      <c r="G34" s="39"/>
      <c r="H34" s="39"/>
      <c r="I34" s="50"/>
      <c r="J34" s="68"/>
      <c r="K34" s="5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</row>
    <row r="35" spans="2:60" ht="7.5" customHeight="1" x14ac:dyDescent="0.2"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</row>
    <row r="36" spans="2:60" ht="12.75" customHeight="1" x14ac:dyDescent="0.2">
      <c r="B36" s="71" t="s">
        <v>37</v>
      </c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39"/>
    </row>
    <row r="37" spans="2:60" ht="7.5" customHeight="1" x14ac:dyDescent="0.2"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</row>
    <row r="38" spans="2:60" ht="12.75" customHeight="1" x14ac:dyDescent="0.2">
      <c r="B38" s="42" t="s">
        <v>38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9" t="str">
        <f ca="1">INDIRECT("Registro!Q" &amp; I67)</f>
        <v>guasmara 1</v>
      </c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3"/>
    </row>
    <row r="39" spans="2:60" ht="7.5" customHeight="1" x14ac:dyDescent="0.2"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</row>
    <row r="40" spans="2:60" ht="12.75" customHeight="1" x14ac:dyDescent="0.2">
      <c r="B40" s="42" t="s">
        <v>27</v>
      </c>
      <c r="C40" s="42"/>
      <c r="D40" s="42"/>
      <c r="E40" s="42"/>
      <c r="F40" s="42"/>
      <c r="G40" s="42"/>
      <c r="H40" s="42"/>
      <c r="I40" s="9" t="str">
        <f ca="1">INDIRECT("Registro!R" &amp; I67)</f>
        <v>Villa de las rosas</v>
      </c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39" t="s">
        <v>39</v>
      </c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"/>
    </row>
    <row r="41" spans="2:60" ht="7.5" customHeight="1" x14ac:dyDescent="0.2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</row>
    <row r="42" spans="2:60" ht="12.75" customHeight="1" x14ac:dyDescent="0.2">
      <c r="B42" s="42" t="s">
        <v>40</v>
      </c>
      <c r="C42" s="42"/>
      <c r="D42" s="42"/>
      <c r="E42" s="42"/>
      <c r="F42" s="42"/>
      <c r="G42" s="42"/>
      <c r="H42" s="42"/>
      <c r="I42" s="42"/>
      <c r="J42" s="9">
        <f ca="1">INDIRECT("Registro!S" &amp; I67)</f>
        <v>1234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"/>
    </row>
    <row r="43" spans="2:60" ht="7.5" customHeight="1" x14ac:dyDescent="0.2"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</row>
    <row r="44" spans="2:60" ht="12.75" customHeight="1" x14ac:dyDescent="0.2">
      <c r="B44" s="39"/>
      <c r="C44" s="39"/>
      <c r="D44" s="43" t="s">
        <v>41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7"/>
      <c r="T44" s="43" t="s">
        <v>42</v>
      </c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3"/>
    </row>
    <row r="45" spans="2:60" ht="7.5" customHeight="1" x14ac:dyDescent="0.2"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S45" s="7"/>
      <c r="T45" s="8"/>
      <c r="U45" s="8"/>
      <c r="V45" s="8"/>
      <c r="W45" s="8"/>
      <c r="X45" s="8"/>
      <c r="AC45" s="58"/>
      <c r="AD45" s="58"/>
      <c r="AE45" s="58"/>
      <c r="AF45" s="58"/>
      <c r="AG45" s="58"/>
      <c r="AH45" s="58"/>
    </row>
    <row r="46" spans="2:60" ht="12.75" customHeight="1" x14ac:dyDescent="0.2">
      <c r="B46" s="74" t="s">
        <v>43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3"/>
    </row>
    <row r="47" spans="2:60" ht="7.5" customHeight="1" x14ac:dyDescent="0.2"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</row>
    <row r="48" spans="2:60" ht="12.75" customHeight="1" x14ac:dyDescent="0.2">
      <c r="B48" s="42" t="s">
        <v>44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9">
        <f ca="1">INDIRECT("Registro!T" &amp; I67)</f>
        <v>111</v>
      </c>
      <c r="R48" s="9"/>
      <c r="S48" s="42" t="s">
        <v>56</v>
      </c>
      <c r="T48" s="42"/>
      <c r="U48" s="42"/>
      <c r="V48" s="42"/>
      <c r="W48" s="9">
        <f ca="1">INDIRECT("Registro!U" &amp; I67)</f>
        <v>111</v>
      </c>
      <c r="X48" s="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"/>
    </row>
    <row r="49" spans="2:37" ht="7.5" customHeight="1" x14ac:dyDescent="0.2"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39"/>
      <c r="AB49" s="39"/>
      <c r="AC49" s="39"/>
      <c r="AD49" s="39"/>
      <c r="AE49" s="39"/>
      <c r="AF49" s="39"/>
      <c r="AG49" s="58"/>
      <c r="AH49" s="58"/>
    </row>
    <row r="50" spans="2:37" ht="12.75" customHeight="1" x14ac:dyDescent="0.2">
      <c r="B50" s="42" t="s">
        <v>45</v>
      </c>
      <c r="C50" s="42"/>
      <c r="D50" s="42"/>
      <c r="E50" s="42"/>
      <c r="F50" s="42"/>
      <c r="G50" s="42"/>
      <c r="H50" s="42"/>
      <c r="I50" s="42"/>
      <c r="J50" s="42"/>
      <c r="K50" s="9">
        <f ca="1">INDIRECT("Registro!V" &amp; I67)</f>
        <v>1970</v>
      </c>
      <c r="L50" s="9"/>
      <c r="M50" s="9"/>
      <c r="O50" s="42" t="s">
        <v>77</v>
      </c>
      <c r="P50" s="42"/>
      <c r="Q50" s="42"/>
      <c r="R50" s="42"/>
      <c r="S50" s="42"/>
      <c r="T50" s="42"/>
      <c r="U50" s="42"/>
      <c r="V50" s="42"/>
      <c r="W50" s="9" t="str">
        <f ca="1">INDIRECT("Registro!W" &amp; I67)</f>
        <v>si</v>
      </c>
      <c r="X50" s="9"/>
      <c r="Y50" s="9"/>
      <c r="Z50" s="39"/>
    </row>
    <row r="51" spans="2:37" ht="7.5" customHeight="1" x14ac:dyDescent="0.2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</row>
    <row r="52" spans="2:37" ht="12.75" customHeight="1" x14ac:dyDescent="0.2"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S52" s="7"/>
      <c r="T52" s="43" t="s">
        <v>41</v>
      </c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3"/>
    </row>
    <row r="53" spans="2:37" ht="7.5" customHeight="1" x14ac:dyDescent="0.2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8"/>
      <c r="S53" s="8"/>
      <c r="U53" s="75"/>
      <c r="W53" s="46"/>
      <c r="X53" s="45" t="s">
        <v>46</v>
      </c>
      <c r="Z53" s="46"/>
      <c r="AA53" s="58"/>
      <c r="AB53" s="58"/>
      <c r="AC53" s="58"/>
      <c r="AD53" s="58"/>
      <c r="AE53" s="58"/>
      <c r="AF53" s="58"/>
      <c r="AG53" s="58"/>
      <c r="AH53" s="58"/>
    </row>
    <row r="54" spans="2:37" ht="12.75" customHeight="1" x14ac:dyDescent="0.2">
      <c r="B54" s="39"/>
      <c r="C54" s="39"/>
      <c r="D54" s="39"/>
      <c r="E54" s="39"/>
      <c r="F54" s="39"/>
      <c r="G54" s="39"/>
      <c r="H54" s="39"/>
      <c r="I54" s="39"/>
      <c r="S54" s="7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3"/>
    </row>
    <row r="55" spans="2:37" ht="7.5" customHeight="1" x14ac:dyDescent="0.2"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</row>
    <row r="56" spans="2:37" ht="12.75" customHeight="1" x14ac:dyDescent="0.2">
      <c r="B56" s="74" t="s">
        <v>47</v>
      </c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3"/>
    </row>
    <row r="57" spans="2:37" ht="7.5" customHeight="1" x14ac:dyDescent="0.2"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</row>
    <row r="58" spans="2:37" ht="12.75" customHeight="1" x14ac:dyDescent="0.2">
      <c r="B58" s="10" t="s">
        <v>48</v>
      </c>
      <c r="C58" s="10"/>
      <c r="D58" s="10"/>
      <c r="E58" s="10"/>
      <c r="F58" s="10"/>
      <c r="G58" s="10"/>
      <c r="H58" s="10"/>
      <c r="I58" s="10"/>
      <c r="J58" s="40" t="str">
        <f ca="1">INDIRECT("Registro!X" &amp; I67)</f>
        <v>normal</v>
      </c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2" t="s">
        <v>49</v>
      </c>
      <c r="W58" s="42"/>
      <c r="X58" s="42"/>
      <c r="Y58" s="42"/>
      <c r="Z58" s="9" t="str">
        <f ca="1">INDIRECT("Registro!Y" &amp; I67)</f>
        <v>normal</v>
      </c>
      <c r="AA58" s="9"/>
      <c r="AB58" s="9"/>
      <c r="AC58" s="9"/>
      <c r="AD58" s="9"/>
      <c r="AE58" s="9"/>
      <c r="AF58" s="9"/>
      <c r="AG58" s="9"/>
      <c r="AH58" s="9"/>
      <c r="AI58" s="3"/>
      <c r="AJ58" s="3"/>
      <c r="AK58" s="3"/>
    </row>
    <row r="59" spans="2:37" ht="7.5" customHeight="1" x14ac:dyDescent="0.2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58"/>
      <c r="AA59" s="58"/>
      <c r="AB59" s="58"/>
      <c r="AC59" s="58"/>
      <c r="AD59" s="58"/>
      <c r="AE59" s="58"/>
      <c r="AF59" s="58"/>
      <c r="AG59" s="58"/>
      <c r="AH59" s="58"/>
    </row>
    <row r="60" spans="2:37" ht="12.75" customHeight="1" x14ac:dyDescent="0.2">
      <c r="B60" s="10" t="s">
        <v>50</v>
      </c>
      <c r="C60" s="10"/>
      <c r="D60" s="10"/>
      <c r="E60" s="10"/>
      <c r="F60" s="10"/>
      <c r="G60" s="10"/>
      <c r="H60" s="10"/>
      <c r="I60" s="10"/>
      <c r="J60" s="40" t="str">
        <f ca="1">INDIRECT("Registro!Z" &amp; I67)</f>
        <v>si</v>
      </c>
      <c r="K60" s="40"/>
      <c r="L60" s="40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39"/>
      <c r="AA60" s="39"/>
      <c r="AB60" s="39"/>
      <c r="AC60" s="39"/>
      <c r="AD60" s="39"/>
      <c r="AE60" s="39"/>
      <c r="AF60" s="39"/>
      <c r="AG60" s="39"/>
      <c r="AH60" s="39"/>
      <c r="AI60" s="3"/>
    </row>
    <row r="61" spans="2:37" ht="7.5" customHeight="1" x14ac:dyDescent="0.2"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1"/>
      <c r="R61" s="102"/>
      <c r="S61" s="103"/>
      <c r="T61" s="102"/>
      <c r="U61" s="102"/>
      <c r="V61" s="102"/>
      <c r="W61" s="102"/>
      <c r="X61" s="102"/>
      <c r="Y61" s="102"/>
      <c r="Z61" s="4"/>
      <c r="AA61" s="4"/>
      <c r="AB61" s="4"/>
      <c r="AC61" s="4"/>
      <c r="AD61" s="4"/>
      <c r="AE61" s="4"/>
      <c r="AF61" s="4"/>
      <c r="AG61" s="4"/>
      <c r="AH61" s="4"/>
      <c r="AI61" s="3"/>
    </row>
    <row r="62" spans="2:37" ht="12.75" customHeight="1" x14ac:dyDescent="0.2">
      <c r="B62" s="10" t="s">
        <v>51</v>
      </c>
      <c r="C62" s="10"/>
      <c r="D62" s="10"/>
      <c r="E62" s="10"/>
      <c r="F62" s="10"/>
      <c r="G62" s="10"/>
      <c r="H62" s="10"/>
      <c r="I62" s="47">
        <f ca="1">INDIRECT("Registro!AA" &amp; I67)</f>
        <v>42120</v>
      </c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8"/>
      <c r="Y62" s="8"/>
      <c r="Z62" s="39"/>
      <c r="AA62" s="39"/>
      <c r="AB62" s="39"/>
      <c r="AC62" s="39"/>
      <c r="AD62" s="39"/>
      <c r="AE62" s="39"/>
      <c r="AF62" s="39"/>
      <c r="AG62" s="39"/>
      <c r="AH62" s="39"/>
    </row>
    <row r="63" spans="2:37" ht="7.5" customHeight="1" x14ac:dyDescent="0.2"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</row>
    <row r="64" spans="2:37" ht="12.75" customHeight="1" x14ac:dyDescent="0.2"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3"/>
    </row>
    <row r="65" spans="2:35" ht="12.75" customHeight="1" x14ac:dyDescent="0.2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3"/>
    </row>
    <row r="66" spans="2:35" ht="12.75" customHeight="1" x14ac:dyDescent="0.2"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3"/>
    </row>
    <row r="67" spans="2:35" ht="12.75" customHeight="1" x14ac:dyDescent="0.2">
      <c r="B67" s="76" t="s">
        <v>2</v>
      </c>
      <c r="C67" s="76"/>
      <c r="D67" s="76"/>
      <c r="E67" s="76"/>
      <c r="F67" s="76"/>
      <c r="G67" s="76"/>
      <c r="H67" s="76"/>
      <c r="I67" s="77">
        <v>3</v>
      </c>
      <c r="J67" s="77"/>
      <c r="K67" s="77"/>
      <c r="L67" s="58"/>
      <c r="M67" s="58"/>
      <c r="N67" s="58"/>
      <c r="O67" s="58"/>
      <c r="P67" s="58"/>
      <c r="Q67" s="58"/>
      <c r="R67" s="58"/>
      <c r="S67" s="58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3"/>
    </row>
    <row r="68" spans="2:35" s="58" customFormat="1" ht="12.75" customHeight="1" x14ac:dyDescent="0.2"/>
    <row r="69" spans="2:35" s="58" customFormat="1" ht="12.75" customHeight="1" x14ac:dyDescent="0.2"/>
    <row r="70" spans="2:35" s="58" customFormat="1" ht="12.75" customHeight="1" x14ac:dyDescent="0.2"/>
    <row r="71" spans="2:35" s="58" customFormat="1" ht="12.75" customHeight="1" x14ac:dyDescent="0.2"/>
    <row r="72" spans="2:35" s="58" customFormat="1" ht="12.75" customHeight="1" x14ac:dyDescent="0.2"/>
    <row r="73" spans="2:35" s="58" customFormat="1" ht="12.75" customHeight="1" x14ac:dyDescent="0.2"/>
    <row r="74" spans="2:35" s="58" customFormat="1" ht="12.75" customHeight="1" x14ac:dyDescent="0.2"/>
    <row r="75" spans="2:35" s="58" customFormat="1" ht="12.75" customHeight="1" x14ac:dyDescent="0.2"/>
    <row r="76" spans="2:35" s="58" customFormat="1" ht="12.75" customHeight="1" x14ac:dyDescent="0.2"/>
    <row r="77" spans="2:35" s="58" customFormat="1" ht="12.75" customHeight="1" x14ac:dyDescent="0.2"/>
    <row r="78" spans="2:35" s="58" customFormat="1" ht="12.75" customHeight="1" x14ac:dyDescent="0.2"/>
    <row r="79" spans="2:35" s="58" customFormat="1" ht="12.75" customHeight="1" x14ac:dyDescent="0.2"/>
    <row r="80" spans="2:35" s="58" customFormat="1" ht="12.75" customHeight="1" x14ac:dyDescent="0.2"/>
    <row r="81" s="58" customFormat="1" ht="12.75" customHeight="1" x14ac:dyDescent="0.2"/>
    <row r="82" s="58" customFormat="1" ht="12.75" customHeight="1" x14ac:dyDescent="0.2"/>
    <row r="83" s="58" customFormat="1" ht="12.75" customHeight="1" x14ac:dyDescent="0.2"/>
    <row r="84" s="58" customFormat="1" ht="12.75" customHeight="1" x14ac:dyDescent="0.2"/>
    <row r="85" s="58" customFormat="1" ht="12.75" customHeight="1" x14ac:dyDescent="0.2"/>
    <row r="86" s="58" customFormat="1" ht="12.75" customHeight="1" x14ac:dyDescent="0.2"/>
    <row r="87" s="58" customFormat="1" ht="12.75" customHeight="1" x14ac:dyDescent="0.2"/>
    <row r="88" s="58" customFormat="1" ht="12.75" customHeight="1" x14ac:dyDescent="0.2"/>
    <row r="89" s="58" customFormat="1" ht="12.75" customHeight="1" x14ac:dyDescent="0.2"/>
    <row r="90" s="58" customFormat="1" ht="12.75" customHeight="1" x14ac:dyDescent="0.2"/>
    <row r="91" s="58" customFormat="1" ht="12.75" customHeight="1" x14ac:dyDescent="0.2"/>
    <row r="92" s="58" customFormat="1" ht="12.75" customHeight="1" x14ac:dyDescent="0.2"/>
    <row r="93" s="58" customFormat="1" ht="12.75" customHeight="1" x14ac:dyDescent="0.2"/>
    <row r="94" s="58" customFormat="1" ht="12.75" customHeight="1" x14ac:dyDescent="0.2"/>
    <row r="95" s="58" customFormat="1" ht="12.75" customHeight="1" x14ac:dyDescent="0.2"/>
    <row r="96" s="58" customFormat="1" ht="12.75" customHeight="1" x14ac:dyDescent="0.2"/>
    <row r="97" s="58" customFormat="1" ht="12.75" customHeight="1" x14ac:dyDescent="0.2"/>
    <row r="98" s="58" customFormat="1" ht="12.75" customHeight="1" x14ac:dyDescent="0.2"/>
    <row r="99" s="58" customFormat="1" ht="12.75" customHeight="1" x14ac:dyDescent="0.2"/>
    <row r="100" s="58" customFormat="1" ht="12.75" customHeight="1" x14ac:dyDescent="0.2"/>
    <row r="101" s="58" customFormat="1" ht="12.75" customHeight="1" x14ac:dyDescent="0.2"/>
    <row r="102" s="58" customFormat="1" ht="12.75" customHeight="1" x14ac:dyDescent="0.2"/>
    <row r="103" s="58" customFormat="1" ht="12.75" customHeight="1" x14ac:dyDescent="0.2"/>
    <row r="104" s="58" customFormat="1" ht="12.75" customHeight="1" x14ac:dyDescent="0.2"/>
    <row r="105" s="58" customFormat="1" ht="12.75" customHeight="1" x14ac:dyDescent="0.2"/>
    <row r="106" s="58" customFormat="1" ht="12.75" customHeight="1" x14ac:dyDescent="0.2"/>
    <row r="107" s="58" customFormat="1" ht="12.75" customHeight="1" x14ac:dyDescent="0.2"/>
    <row r="108" s="58" customFormat="1" ht="12.75" customHeight="1" x14ac:dyDescent="0.2"/>
    <row r="109" s="58" customFormat="1" ht="12.75" customHeight="1" x14ac:dyDescent="0.2"/>
    <row r="110" s="58" customFormat="1" ht="12.75" customHeight="1" x14ac:dyDescent="0.2"/>
    <row r="111" s="58" customFormat="1" ht="12.75" customHeight="1" x14ac:dyDescent="0.2"/>
    <row r="112" s="58" customFormat="1" ht="12.75" customHeight="1" x14ac:dyDescent="0.2"/>
    <row r="113" s="58" customFormat="1" ht="12.75" customHeight="1" x14ac:dyDescent="0.2"/>
    <row r="114" s="58" customFormat="1" ht="12.75" customHeight="1" x14ac:dyDescent="0.2"/>
    <row r="115" s="58" customFormat="1" ht="12.75" customHeight="1" x14ac:dyDescent="0.2"/>
    <row r="116" s="58" customFormat="1" ht="12.75" customHeight="1" x14ac:dyDescent="0.2"/>
    <row r="117" s="58" customFormat="1" ht="12.75" customHeight="1" x14ac:dyDescent="0.2"/>
    <row r="118" s="58" customFormat="1" ht="12.75" customHeight="1" x14ac:dyDescent="0.2"/>
    <row r="119" s="58" customFormat="1" ht="12.75" customHeight="1" x14ac:dyDescent="0.2"/>
    <row r="120" s="58" customFormat="1" ht="12.75" customHeight="1" x14ac:dyDescent="0.2"/>
    <row r="121" s="58" customFormat="1" ht="12.75" customHeight="1" x14ac:dyDescent="0.2"/>
    <row r="122" s="58" customFormat="1" ht="12.75" customHeight="1" x14ac:dyDescent="0.2"/>
    <row r="123" s="58" customFormat="1" ht="12.75" customHeight="1" x14ac:dyDescent="0.2"/>
    <row r="124" s="58" customFormat="1" ht="12.75" customHeight="1" x14ac:dyDescent="0.2"/>
    <row r="125" s="58" customFormat="1" ht="12.75" customHeight="1" x14ac:dyDescent="0.2"/>
    <row r="126" s="58" customFormat="1" ht="12.75" customHeight="1" x14ac:dyDescent="0.2"/>
    <row r="127" s="58" customFormat="1" ht="12.75" customHeight="1" x14ac:dyDescent="0.2"/>
    <row r="128" s="58" customFormat="1" ht="12.75" customHeight="1" x14ac:dyDescent="0.2"/>
    <row r="129" s="58" customFormat="1" ht="12.75" customHeight="1" x14ac:dyDescent="0.2"/>
    <row r="130" s="58" customFormat="1" ht="12.75" customHeight="1" x14ac:dyDescent="0.2"/>
    <row r="150" spans="5:5" ht="12.75" customHeight="1" x14ac:dyDescent="0.2">
      <c r="E150" s="5"/>
    </row>
  </sheetData>
  <mergeCells count="67">
    <mergeCell ref="I62:W62"/>
    <mergeCell ref="D26:D33"/>
    <mergeCell ref="C24:H24"/>
    <mergeCell ref="F32:K32"/>
    <mergeCell ref="J23:J30"/>
    <mergeCell ref="Q48:R48"/>
    <mergeCell ref="W48:X48"/>
    <mergeCell ref="B48:P48"/>
    <mergeCell ref="S48:V48"/>
    <mergeCell ref="B50:J50"/>
    <mergeCell ref="K50:M50"/>
    <mergeCell ref="O50:V50"/>
    <mergeCell ref="W50:Y50"/>
    <mergeCell ref="AB8:AH8"/>
    <mergeCell ref="B12:H12"/>
    <mergeCell ref="I12:V12"/>
    <mergeCell ref="N22:AH22"/>
    <mergeCell ref="T52:AH52"/>
    <mergeCell ref="B58:I58"/>
    <mergeCell ref="V58:Y58"/>
    <mergeCell ref="B60:I60"/>
    <mergeCell ref="J60:L60"/>
    <mergeCell ref="J58:U58"/>
    <mergeCell ref="Z58:AH58"/>
    <mergeCell ref="B62:H62"/>
    <mergeCell ref="B42:I42"/>
    <mergeCell ref="J42:V42"/>
    <mergeCell ref="B40:H40"/>
    <mergeCell ref="I40:V40"/>
    <mergeCell ref="B36:AH36"/>
    <mergeCell ref="B38:L38"/>
    <mergeCell ref="M38:AH38"/>
    <mergeCell ref="N28:V28"/>
    <mergeCell ref="N30:T30"/>
    <mergeCell ref="W28:Y28"/>
    <mergeCell ref="W30:Y30"/>
    <mergeCell ref="N26:Q26"/>
    <mergeCell ref="R26:AC26"/>
    <mergeCell ref="N24:Q24"/>
    <mergeCell ref="R24:AH24"/>
    <mergeCell ref="B14:E14"/>
    <mergeCell ref="F14:H14"/>
    <mergeCell ref="I14:O14"/>
    <mergeCell ref="P14:R14"/>
    <mergeCell ref="S14:AH14"/>
    <mergeCell ref="B10:AH10"/>
    <mergeCell ref="B4:AH4"/>
    <mergeCell ref="B8:S8"/>
    <mergeCell ref="V8:Y8"/>
    <mergeCell ref="T8:U8"/>
    <mergeCell ref="Z8:AA8"/>
    <mergeCell ref="B67:H67"/>
    <mergeCell ref="I67:K67"/>
    <mergeCell ref="B56:AH56"/>
    <mergeCell ref="B46:AH46"/>
    <mergeCell ref="D44:R44"/>
    <mergeCell ref="T44:AH44"/>
    <mergeCell ref="B6:AH6"/>
    <mergeCell ref="B2:G2"/>
    <mergeCell ref="W2:AH2"/>
    <mergeCell ref="B16:D16"/>
    <mergeCell ref="H2:V2"/>
    <mergeCell ref="AB16:AH16"/>
    <mergeCell ref="B20:AH20"/>
    <mergeCell ref="E16:F16"/>
    <mergeCell ref="G16:AA16"/>
    <mergeCell ref="B18:AH18"/>
  </mergeCells>
  <phoneticPr fontId="2" type="noConversion"/>
  <dataValidations disablePrompts="1" count="1">
    <dataValidation type="list" allowBlank="1" showInputMessage="1" showErrorMessage="1" sqref="U81:AH81">
      <formula1>Empleados</formula1>
    </dataValidation>
  </dataValidations>
  <printOptions horizontalCentered="1"/>
  <pageMargins left="0.78740157480314965" right="0.74803149606299213" top="1.9685039370078741" bottom="0.59055118110236227" header="0" footer="0"/>
  <pageSetup paperSize="9" orientation="portrait" r:id="rId1"/>
  <headerFooter alignWithMargins="0">
    <oddHeader>&amp;L&amp;G&amp;C&amp;"Segoe UI,Negrita"&amp;14MUNICIPALIDAD DE VILLA DE LAS ROSAS
&amp;"Segoe UI,Normal"&amp;12Departamento San Javier - Córdoba
&amp;"Segoe UI,Negrita"&amp;18SOLICITUD DE CONEXIÓN
 DE AGUA CORRIENTE&amp;R&amp;G</oddHeader>
    <oddFooter>&amp;C&amp;"Segoe UI,Negrita"&amp;11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B275"/>
  <sheetViews>
    <sheetView topLeftCell="T1" workbookViewId="0">
      <selection activeCell="AA3" sqref="AA3"/>
    </sheetView>
  </sheetViews>
  <sheetFormatPr baseColWidth="10" defaultRowHeight="16.5" x14ac:dyDescent="0.3"/>
  <cols>
    <col min="1" max="1" width="48.28515625" style="91" customWidth="1"/>
    <col min="2" max="2" width="9.5703125" style="95" customWidth="1"/>
    <col min="3" max="3" width="11" style="95" customWidth="1"/>
    <col min="4" max="4" width="32.5703125" style="35" customWidth="1"/>
    <col min="5" max="5" width="24.42578125" style="35" customWidth="1"/>
    <col min="6" max="7" width="11.42578125" style="35"/>
    <col min="8" max="8" width="20.85546875" style="35" customWidth="1"/>
    <col min="9" max="9" width="22.5703125" style="25" customWidth="1"/>
    <col min="10" max="11" width="22.5703125" style="26" customWidth="1"/>
    <col min="12" max="12" width="22.5703125" style="27" customWidth="1"/>
    <col min="13" max="13" width="22.85546875" style="36" customWidth="1"/>
    <col min="14" max="14" width="22.7109375" style="37" customWidth="1"/>
    <col min="15" max="15" width="11.42578125" style="37"/>
    <col min="16" max="16" width="16.5703125" style="38" customWidth="1"/>
    <col min="17" max="17" width="22.85546875" style="36" customWidth="1"/>
    <col min="18" max="18" width="23.140625" style="37" customWidth="1"/>
    <col min="19" max="19" width="22.85546875" style="38" customWidth="1"/>
    <col min="20" max="21" width="11.140625" style="36" customWidth="1"/>
    <col min="22" max="22" width="19.140625" style="37" bestFit="1" customWidth="1"/>
    <col min="23" max="23" width="11" style="38" customWidth="1"/>
    <col min="24" max="24" width="22.7109375" style="25" customWidth="1"/>
    <col min="25" max="25" width="22.7109375" style="26" customWidth="1"/>
    <col min="26" max="26" width="23.140625" style="26" customWidth="1"/>
    <col min="27" max="27" width="18.7109375" style="27" customWidth="1"/>
    <col min="28" max="16384" width="11.42578125" style="24"/>
  </cols>
  <sheetData>
    <row r="1" spans="1:28" s="78" customFormat="1" x14ac:dyDescent="0.3">
      <c r="A1" s="89"/>
      <c r="B1" s="92"/>
      <c r="C1" s="92"/>
      <c r="D1" s="87"/>
      <c r="E1" s="87"/>
      <c r="F1" s="87"/>
      <c r="G1" s="87"/>
      <c r="H1" s="87"/>
      <c r="I1" s="11" t="s">
        <v>72</v>
      </c>
      <c r="J1" s="12"/>
      <c r="K1" s="12"/>
      <c r="L1" s="13"/>
      <c r="M1" s="28" t="s">
        <v>17</v>
      </c>
      <c r="N1" s="29"/>
      <c r="O1" s="29"/>
      <c r="P1" s="30"/>
      <c r="Q1" s="28" t="s">
        <v>18</v>
      </c>
      <c r="R1" s="29"/>
      <c r="S1" s="30"/>
      <c r="T1" s="28" t="s">
        <v>14</v>
      </c>
      <c r="U1" s="29"/>
      <c r="V1" s="29"/>
      <c r="W1" s="30"/>
      <c r="X1" s="11" t="s">
        <v>65</v>
      </c>
      <c r="Y1" s="12"/>
      <c r="Z1" s="12"/>
      <c r="AA1" s="13"/>
    </row>
    <row r="2" spans="1:28" s="86" customFormat="1" x14ac:dyDescent="0.3">
      <c r="A2" s="79" t="s">
        <v>3</v>
      </c>
      <c r="B2" s="79" t="s">
        <v>4</v>
      </c>
      <c r="C2" s="79" t="s">
        <v>5</v>
      </c>
      <c r="D2" s="79" t="s">
        <v>13</v>
      </c>
      <c r="E2" s="79" t="s">
        <v>6</v>
      </c>
      <c r="F2" s="79" t="s">
        <v>7</v>
      </c>
      <c r="G2" s="79" t="s">
        <v>8</v>
      </c>
      <c r="H2" s="79" t="s">
        <v>9</v>
      </c>
      <c r="I2" s="83" t="s">
        <v>68</v>
      </c>
      <c r="J2" s="84" t="s">
        <v>69</v>
      </c>
      <c r="K2" s="84" t="s">
        <v>70</v>
      </c>
      <c r="L2" s="85" t="s">
        <v>71</v>
      </c>
      <c r="M2" s="80" t="s">
        <v>10</v>
      </c>
      <c r="N2" s="81" t="s">
        <v>11</v>
      </c>
      <c r="O2" s="81" t="s">
        <v>12</v>
      </c>
      <c r="P2" s="82" t="s">
        <v>61</v>
      </c>
      <c r="Q2" s="80" t="s">
        <v>13</v>
      </c>
      <c r="R2" s="81" t="s">
        <v>62</v>
      </c>
      <c r="S2" s="82" t="s">
        <v>63</v>
      </c>
      <c r="T2" s="80" t="s">
        <v>4</v>
      </c>
      <c r="U2" s="80" t="s">
        <v>5</v>
      </c>
      <c r="V2" s="81" t="s">
        <v>15</v>
      </c>
      <c r="W2" s="82" t="s">
        <v>16</v>
      </c>
      <c r="X2" s="83" t="s">
        <v>48</v>
      </c>
      <c r="Y2" s="84" t="s">
        <v>64</v>
      </c>
      <c r="Z2" s="84" t="s">
        <v>66</v>
      </c>
      <c r="AA2" s="85" t="s">
        <v>78</v>
      </c>
    </row>
    <row r="3" spans="1:28" s="18" customFormat="1" x14ac:dyDescent="0.3">
      <c r="A3" s="88" t="s">
        <v>20</v>
      </c>
      <c r="B3" s="93">
        <v>1</v>
      </c>
      <c r="C3" s="93">
        <v>2</v>
      </c>
      <c r="D3" s="15" t="s">
        <v>57</v>
      </c>
      <c r="E3" s="15" t="s">
        <v>58</v>
      </c>
      <c r="F3" s="15">
        <v>12</v>
      </c>
      <c r="G3" s="15">
        <v>34</v>
      </c>
      <c r="H3" s="15" t="s">
        <v>59</v>
      </c>
      <c r="I3" s="23" t="s">
        <v>75</v>
      </c>
      <c r="J3" s="15" t="s">
        <v>74</v>
      </c>
      <c r="K3" s="15" t="s">
        <v>73</v>
      </c>
      <c r="L3" s="17" t="s">
        <v>76</v>
      </c>
      <c r="M3" s="16" t="s">
        <v>60</v>
      </c>
      <c r="N3" s="15" t="s">
        <v>59</v>
      </c>
      <c r="O3" s="15">
        <v>3</v>
      </c>
      <c r="P3" s="17" t="s">
        <v>21</v>
      </c>
      <c r="Q3" s="16" t="s">
        <v>60</v>
      </c>
      <c r="R3" s="15" t="s">
        <v>1</v>
      </c>
      <c r="S3" s="17">
        <v>1234</v>
      </c>
      <c r="T3" s="16">
        <v>111</v>
      </c>
      <c r="U3" s="16">
        <v>111</v>
      </c>
      <c r="V3" s="15">
        <v>1970</v>
      </c>
      <c r="W3" s="17" t="s">
        <v>21</v>
      </c>
      <c r="X3" s="16" t="s">
        <v>67</v>
      </c>
      <c r="Y3" s="15" t="s">
        <v>67</v>
      </c>
      <c r="Z3" s="15" t="s">
        <v>21</v>
      </c>
      <c r="AA3" s="99">
        <v>42120</v>
      </c>
      <c r="AB3" s="15"/>
    </row>
    <row r="4" spans="1:28" s="18" customFormat="1" x14ac:dyDescent="0.3">
      <c r="A4" s="88"/>
      <c r="B4" s="93"/>
      <c r="C4" s="93"/>
      <c r="D4" s="15"/>
      <c r="E4" s="15"/>
      <c r="F4" s="15"/>
      <c r="G4" s="15"/>
      <c r="H4" s="15"/>
      <c r="I4" s="16"/>
      <c r="J4" s="15"/>
      <c r="K4" s="15"/>
      <c r="L4" s="17"/>
      <c r="M4" s="19"/>
      <c r="N4" s="14"/>
      <c r="O4" s="14"/>
      <c r="P4" s="20"/>
      <c r="Q4" s="19"/>
      <c r="R4" s="15"/>
      <c r="S4" s="17"/>
      <c r="T4" s="16"/>
      <c r="U4" s="16"/>
      <c r="V4" s="15"/>
      <c r="W4" s="17"/>
      <c r="X4" s="16"/>
      <c r="Y4" s="15"/>
      <c r="Z4" s="15"/>
      <c r="AA4" s="17"/>
      <c r="AB4" s="15"/>
    </row>
    <row r="5" spans="1:28" s="18" customFormat="1" x14ac:dyDescent="0.3">
      <c r="A5" s="88"/>
      <c r="B5" s="93"/>
      <c r="C5" s="93"/>
      <c r="D5" s="14"/>
      <c r="E5" s="14"/>
      <c r="F5" s="14"/>
      <c r="G5" s="14"/>
      <c r="H5" s="14"/>
      <c r="I5" s="16"/>
      <c r="J5" s="15"/>
      <c r="K5" s="15"/>
      <c r="L5" s="17"/>
      <c r="M5" s="16"/>
      <c r="N5" s="15"/>
      <c r="O5" s="15"/>
      <c r="P5" s="17"/>
      <c r="Q5" s="16"/>
      <c r="R5" s="15"/>
      <c r="S5" s="17"/>
      <c r="T5" s="16"/>
      <c r="U5" s="16"/>
      <c r="V5" s="15"/>
      <c r="W5" s="17"/>
      <c r="X5" s="16"/>
      <c r="Y5" s="15"/>
      <c r="Z5" s="15"/>
      <c r="AA5" s="17"/>
      <c r="AB5" s="15"/>
    </row>
    <row r="6" spans="1:28" s="18" customFormat="1" x14ac:dyDescent="0.3">
      <c r="A6" s="88"/>
      <c r="B6" s="93"/>
      <c r="C6" s="93"/>
      <c r="D6" s="15"/>
      <c r="E6" s="15"/>
      <c r="F6" s="15"/>
      <c r="G6" s="15"/>
      <c r="H6" s="15"/>
      <c r="I6" s="16"/>
      <c r="J6" s="15"/>
      <c r="K6" s="15"/>
      <c r="L6" s="17"/>
      <c r="M6" s="19"/>
      <c r="N6" s="14"/>
      <c r="O6" s="14"/>
      <c r="P6" s="20"/>
      <c r="Q6" s="19"/>
      <c r="R6" s="15"/>
      <c r="S6" s="17"/>
      <c r="T6" s="16"/>
      <c r="U6" s="16"/>
      <c r="V6" s="15"/>
      <c r="W6" s="17"/>
      <c r="X6" s="16"/>
      <c r="Y6" s="15"/>
      <c r="Z6" s="15"/>
      <c r="AA6" s="17"/>
      <c r="AB6" s="15"/>
    </row>
    <row r="7" spans="1:28" s="18" customFormat="1" x14ac:dyDescent="0.3">
      <c r="A7" s="88"/>
      <c r="B7" s="93"/>
      <c r="C7" s="93"/>
      <c r="D7" s="15"/>
      <c r="E7" s="15"/>
      <c r="F7" s="15"/>
      <c r="G7" s="15"/>
      <c r="H7" s="15"/>
      <c r="I7" s="16"/>
      <c r="J7" s="15"/>
      <c r="K7" s="15"/>
      <c r="L7" s="17"/>
      <c r="M7" s="16"/>
      <c r="N7" s="15"/>
      <c r="O7" s="15"/>
      <c r="P7" s="17"/>
      <c r="Q7" s="16"/>
      <c r="R7" s="15"/>
      <c r="S7" s="17"/>
      <c r="T7" s="16"/>
      <c r="U7" s="16"/>
      <c r="V7" s="15"/>
      <c r="W7" s="17"/>
      <c r="X7" s="16"/>
      <c r="Y7" s="15"/>
      <c r="Z7" s="15"/>
      <c r="AA7" s="17"/>
      <c r="AB7" s="15"/>
    </row>
    <row r="8" spans="1:28" s="18" customFormat="1" x14ac:dyDescent="0.3">
      <c r="A8" s="88"/>
      <c r="B8" s="93"/>
      <c r="C8" s="93"/>
      <c r="D8" s="14"/>
      <c r="E8" s="14"/>
      <c r="F8" s="14"/>
      <c r="G8" s="14"/>
      <c r="H8" s="14"/>
      <c r="I8" s="16"/>
      <c r="J8" s="15"/>
      <c r="K8" s="15"/>
      <c r="L8" s="17"/>
      <c r="M8" s="19"/>
      <c r="N8" s="14"/>
      <c r="O8" s="14"/>
      <c r="P8" s="20"/>
      <c r="Q8" s="19"/>
      <c r="R8" s="15"/>
      <c r="S8" s="17"/>
      <c r="T8" s="16"/>
      <c r="U8" s="16"/>
      <c r="V8" s="15"/>
      <c r="W8" s="17"/>
      <c r="X8" s="16"/>
      <c r="Y8" s="15"/>
      <c r="Z8" s="15"/>
      <c r="AA8" s="17"/>
      <c r="AB8" s="15"/>
    </row>
    <row r="9" spans="1:28" s="18" customFormat="1" x14ac:dyDescent="0.3">
      <c r="A9" s="88"/>
      <c r="B9" s="93"/>
      <c r="C9" s="93"/>
      <c r="D9" s="15"/>
      <c r="E9" s="15"/>
      <c r="F9" s="15"/>
      <c r="G9" s="15"/>
      <c r="H9" s="15"/>
      <c r="I9" s="16"/>
      <c r="J9" s="15"/>
      <c r="K9" s="15"/>
      <c r="L9" s="17"/>
      <c r="M9" s="16"/>
      <c r="N9" s="15"/>
      <c r="O9" s="15"/>
      <c r="P9" s="17"/>
      <c r="Q9" s="16"/>
      <c r="R9" s="15"/>
      <c r="S9" s="17"/>
      <c r="T9" s="16"/>
      <c r="U9" s="16"/>
      <c r="V9" s="15"/>
      <c r="W9" s="17"/>
      <c r="X9" s="16"/>
      <c r="Y9" s="15"/>
      <c r="Z9" s="15"/>
      <c r="AA9" s="17"/>
      <c r="AB9" s="15"/>
    </row>
    <row r="10" spans="1:28" s="18" customFormat="1" x14ac:dyDescent="0.3">
      <c r="A10" s="88"/>
      <c r="B10" s="93"/>
      <c r="C10" s="93"/>
      <c r="D10" s="15"/>
      <c r="E10" s="15"/>
      <c r="F10" s="15"/>
      <c r="G10" s="15"/>
      <c r="H10" s="15"/>
      <c r="I10" s="16"/>
      <c r="J10" s="15"/>
      <c r="K10" s="15"/>
      <c r="L10" s="17"/>
      <c r="M10" s="19"/>
      <c r="N10" s="14"/>
      <c r="O10" s="14"/>
      <c r="P10" s="20"/>
      <c r="Q10" s="19"/>
      <c r="R10" s="15"/>
      <c r="S10" s="17"/>
      <c r="T10" s="16"/>
      <c r="U10" s="16"/>
      <c r="V10" s="15"/>
      <c r="W10" s="17"/>
      <c r="X10" s="16"/>
      <c r="Y10" s="15"/>
      <c r="Z10" s="15"/>
      <c r="AA10" s="17"/>
      <c r="AB10" s="15"/>
    </row>
    <row r="11" spans="1:28" s="18" customFormat="1" x14ac:dyDescent="0.3">
      <c r="A11" s="88"/>
      <c r="B11" s="93"/>
      <c r="C11" s="93"/>
      <c r="D11" s="14"/>
      <c r="E11" s="14"/>
      <c r="F11" s="14"/>
      <c r="G11" s="14"/>
      <c r="H11" s="14"/>
      <c r="I11" s="16"/>
      <c r="J11" s="15"/>
      <c r="K11" s="15"/>
      <c r="L11" s="17"/>
      <c r="M11" s="16"/>
      <c r="N11" s="15"/>
      <c r="O11" s="15"/>
      <c r="P11" s="17"/>
      <c r="Q11" s="16"/>
      <c r="R11" s="15"/>
      <c r="S11" s="17"/>
      <c r="T11" s="16"/>
      <c r="U11" s="16"/>
      <c r="V11" s="15"/>
      <c r="W11" s="17"/>
      <c r="X11" s="16"/>
      <c r="Y11" s="15"/>
      <c r="Z11" s="15"/>
      <c r="AA11" s="17"/>
      <c r="AB11" s="15"/>
    </row>
    <row r="12" spans="1:28" s="18" customFormat="1" x14ac:dyDescent="0.3">
      <c r="A12" s="88"/>
      <c r="B12" s="93"/>
      <c r="C12" s="93"/>
      <c r="D12" s="15"/>
      <c r="E12" s="15"/>
      <c r="F12" s="15"/>
      <c r="G12" s="15"/>
      <c r="H12" s="15"/>
      <c r="I12" s="16"/>
      <c r="J12" s="15"/>
      <c r="K12" s="15"/>
      <c r="L12" s="17"/>
      <c r="M12" s="19"/>
      <c r="N12" s="14"/>
      <c r="O12" s="14"/>
      <c r="P12" s="20"/>
      <c r="Q12" s="19"/>
      <c r="R12" s="15"/>
      <c r="S12" s="17"/>
      <c r="T12" s="16"/>
      <c r="U12" s="16"/>
      <c r="V12" s="15"/>
      <c r="W12" s="17"/>
      <c r="X12" s="16"/>
      <c r="Y12" s="15"/>
      <c r="Z12" s="15"/>
      <c r="AA12" s="17"/>
      <c r="AB12" s="15"/>
    </row>
    <row r="13" spans="1:28" s="18" customFormat="1" x14ac:dyDescent="0.3">
      <c r="A13" s="88"/>
      <c r="B13" s="93"/>
      <c r="C13" s="93"/>
      <c r="D13" s="15"/>
      <c r="E13" s="15"/>
      <c r="F13" s="15"/>
      <c r="G13" s="15"/>
      <c r="H13" s="15"/>
      <c r="I13" s="16"/>
      <c r="J13" s="15"/>
      <c r="K13" s="15"/>
      <c r="L13" s="17"/>
      <c r="M13" s="16"/>
      <c r="N13" s="15"/>
      <c r="O13" s="15"/>
      <c r="P13" s="17"/>
      <c r="Q13" s="16"/>
      <c r="R13" s="15"/>
      <c r="S13" s="17"/>
      <c r="T13" s="16"/>
      <c r="U13" s="16"/>
      <c r="V13" s="15"/>
      <c r="W13" s="17"/>
      <c r="X13" s="16"/>
      <c r="Y13" s="15"/>
      <c r="Z13" s="15"/>
      <c r="AA13" s="17"/>
      <c r="AB13" s="15"/>
    </row>
    <row r="14" spans="1:28" s="18" customFormat="1" x14ac:dyDescent="0.3">
      <c r="A14" s="88"/>
      <c r="B14" s="93"/>
      <c r="C14" s="93"/>
      <c r="D14" s="14"/>
      <c r="E14" s="14"/>
      <c r="F14" s="14"/>
      <c r="G14" s="14"/>
      <c r="H14" s="14"/>
      <c r="I14" s="16"/>
      <c r="J14" s="15"/>
      <c r="K14" s="15"/>
      <c r="L14" s="17"/>
      <c r="M14" s="19"/>
      <c r="N14" s="14"/>
      <c r="O14" s="14"/>
      <c r="P14" s="20"/>
      <c r="Q14" s="19"/>
      <c r="R14" s="15"/>
      <c r="S14" s="17"/>
      <c r="T14" s="16"/>
      <c r="U14" s="16"/>
      <c r="V14" s="15"/>
      <c r="W14" s="17"/>
      <c r="X14" s="16"/>
      <c r="Y14" s="15"/>
      <c r="Z14" s="15"/>
      <c r="AA14" s="17"/>
      <c r="AB14" s="15"/>
    </row>
    <row r="15" spans="1:28" s="18" customFormat="1" x14ac:dyDescent="0.3">
      <c r="A15" s="88"/>
      <c r="B15" s="93"/>
      <c r="C15" s="93"/>
      <c r="D15" s="15"/>
      <c r="E15" s="15"/>
      <c r="F15" s="15"/>
      <c r="G15" s="15"/>
      <c r="H15" s="15"/>
      <c r="I15" s="16"/>
      <c r="J15" s="15"/>
      <c r="K15" s="15"/>
      <c r="L15" s="17"/>
      <c r="M15" s="16"/>
      <c r="N15" s="15"/>
      <c r="O15" s="15"/>
      <c r="P15" s="17"/>
      <c r="Q15" s="16"/>
      <c r="R15" s="15"/>
      <c r="S15" s="17"/>
      <c r="T15" s="16"/>
      <c r="U15" s="16"/>
      <c r="V15" s="15"/>
      <c r="W15" s="17"/>
      <c r="X15" s="16"/>
      <c r="Y15" s="15"/>
      <c r="Z15" s="15"/>
      <c r="AA15" s="17"/>
      <c r="AB15" s="15"/>
    </row>
    <row r="16" spans="1:28" s="18" customFormat="1" x14ac:dyDescent="0.3">
      <c r="A16" s="88"/>
      <c r="B16" s="93"/>
      <c r="C16" s="93"/>
      <c r="D16" s="15"/>
      <c r="E16" s="15"/>
      <c r="F16" s="15"/>
      <c r="G16" s="15"/>
      <c r="H16" s="15"/>
      <c r="I16" s="16"/>
      <c r="J16" s="15"/>
      <c r="K16" s="15"/>
      <c r="L16" s="17"/>
      <c r="M16" s="19"/>
      <c r="N16" s="14"/>
      <c r="O16" s="14"/>
      <c r="P16" s="20"/>
      <c r="Q16" s="19"/>
      <c r="R16" s="15"/>
      <c r="S16" s="17"/>
      <c r="T16" s="16"/>
      <c r="U16" s="16"/>
      <c r="V16" s="15"/>
      <c r="W16" s="17"/>
      <c r="X16" s="16"/>
      <c r="Y16" s="15"/>
      <c r="Z16" s="15"/>
      <c r="AA16" s="17"/>
      <c r="AB16" s="15"/>
    </row>
    <row r="17" spans="1:28" s="18" customFormat="1" x14ac:dyDescent="0.3">
      <c r="A17" s="88"/>
      <c r="B17" s="93"/>
      <c r="C17" s="93"/>
      <c r="D17" s="14"/>
      <c r="E17" s="14"/>
      <c r="F17" s="14"/>
      <c r="G17" s="14"/>
      <c r="H17" s="14"/>
      <c r="I17" s="16"/>
      <c r="J17" s="15"/>
      <c r="K17" s="15"/>
      <c r="L17" s="17"/>
      <c r="M17" s="16"/>
      <c r="N17" s="15"/>
      <c r="O17" s="15"/>
      <c r="P17" s="17"/>
      <c r="Q17" s="16"/>
      <c r="R17" s="15"/>
      <c r="S17" s="17"/>
      <c r="T17" s="16"/>
      <c r="U17" s="16"/>
      <c r="V17" s="15"/>
      <c r="W17" s="17"/>
      <c r="X17" s="16"/>
      <c r="Y17" s="15"/>
      <c r="Z17" s="15"/>
      <c r="AA17" s="17"/>
      <c r="AB17" s="15"/>
    </row>
    <row r="18" spans="1:28" s="18" customFormat="1" x14ac:dyDescent="0.3">
      <c r="A18" s="88"/>
      <c r="B18" s="93"/>
      <c r="C18" s="93"/>
      <c r="D18" s="15"/>
      <c r="E18" s="15"/>
      <c r="F18" s="15"/>
      <c r="G18" s="15"/>
      <c r="H18" s="15"/>
      <c r="I18" s="16"/>
      <c r="J18" s="15"/>
      <c r="K18" s="15"/>
      <c r="L18" s="17"/>
      <c r="M18" s="19"/>
      <c r="N18" s="14"/>
      <c r="O18" s="14"/>
      <c r="P18" s="20"/>
      <c r="Q18" s="19"/>
      <c r="R18" s="15"/>
      <c r="S18" s="17"/>
      <c r="T18" s="16"/>
      <c r="U18" s="16"/>
      <c r="V18" s="15"/>
      <c r="W18" s="17"/>
      <c r="X18" s="16"/>
      <c r="Y18" s="15"/>
      <c r="Z18" s="15"/>
      <c r="AA18" s="17"/>
      <c r="AB18" s="15"/>
    </row>
    <row r="19" spans="1:28" s="18" customFormat="1" x14ac:dyDescent="0.3">
      <c r="A19" s="88"/>
      <c r="B19" s="93"/>
      <c r="C19" s="93"/>
      <c r="D19" s="15"/>
      <c r="E19" s="15"/>
      <c r="F19" s="15"/>
      <c r="G19" s="15"/>
      <c r="H19" s="15"/>
      <c r="I19" s="16"/>
      <c r="J19" s="15"/>
      <c r="K19" s="15"/>
      <c r="L19" s="17"/>
      <c r="M19" s="16"/>
      <c r="N19" s="15"/>
      <c r="O19" s="15"/>
      <c r="P19" s="17"/>
      <c r="Q19" s="16"/>
      <c r="R19" s="15"/>
      <c r="S19" s="17"/>
      <c r="T19" s="16"/>
      <c r="U19" s="16"/>
      <c r="V19" s="15"/>
      <c r="W19" s="17"/>
      <c r="X19" s="16"/>
      <c r="Y19" s="15"/>
      <c r="Z19" s="15"/>
      <c r="AA19" s="17"/>
      <c r="AB19" s="15"/>
    </row>
    <row r="20" spans="1:28" s="18" customFormat="1" x14ac:dyDescent="0.3">
      <c r="A20" s="88"/>
      <c r="B20" s="93"/>
      <c r="C20" s="93"/>
      <c r="D20" s="14"/>
      <c r="E20" s="14"/>
      <c r="F20" s="14"/>
      <c r="G20" s="14"/>
      <c r="H20" s="14"/>
      <c r="I20" s="16"/>
      <c r="J20" s="15"/>
      <c r="K20" s="15"/>
      <c r="L20" s="17"/>
      <c r="M20" s="19"/>
      <c r="N20" s="14"/>
      <c r="O20" s="14"/>
      <c r="P20" s="20"/>
      <c r="Q20" s="19"/>
      <c r="R20" s="15"/>
      <c r="S20" s="17"/>
      <c r="T20" s="16"/>
      <c r="U20" s="16"/>
      <c r="V20" s="15"/>
      <c r="W20" s="17"/>
      <c r="X20" s="16"/>
      <c r="Y20" s="15"/>
      <c r="Z20" s="15"/>
      <c r="AA20" s="17"/>
      <c r="AB20" s="15"/>
    </row>
    <row r="21" spans="1:28" s="18" customFormat="1" x14ac:dyDescent="0.3">
      <c r="A21" s="88"/>
      <c r="B21" s="93"/>
      <c r="C21" s="93"/>
      <c r="D21" s="15"/>
      <c r="E21" s="15"/>
      <c r="F21" s="15"/>
      <c r="G21" s="15"/>
      <c r="H21" s="15"/>
      <c r="I21" s="16"/>
      <c r="J21" s="15"/>
      <c r="K21" s="15"/>
      <c r="L21" s="17"/>
      <c r="M21" s="16"/>
      <c r="N21" s="15"/>
      <c r="O21" s="15"/>
      <c r="P21" s="17"/>
      <c r="Q21" s="16"/>
      <c r="R21" s="15"/>
      <c r="S21" s="17"/>
      <c r="T21" s="16"/>
      <c r="U21" s="16"/>
      <c r="V21" s="15"/>
      <c r="W21" s="17"/>
      <c r="X21" s="16"/>
      <c r="Y21" s="15"/>
      <c r="Z21" s="15"/>
      <c r="AA21" s="17"/>
      <c r="AB21" s="15"/>
    </row>
    <row r="22" spans="1:28" s="18" customFormat="1" x14ac:dyDescent="0.3">
      <c r="A22" s="88"/>
      <c r="B22" s="93"/>
      <c r="C22" s="93"/>
      <c r="D22" s="15"/>
      <c r="E22" s="15"/>
      <c r="F22" s="15"/>
      <c r="G22" s="15"/>
      <c r="H22" s="15"/>
      <c r="I22" s="16"/>
      <c r="J22" s="15"/>
      <c r="K22" s="15"/>
      <c r="L22" s="17"/>
      <c r="M22" s="19"/>
      <c r="N22" s="14"/>
      <c r="O22" s="14"/>
      <c r="P22" s="20"/>
      <c r="Q22" s="19"/>
      <c r="R22" s="15"/>
      <c r="S22" s="17"/>
      <c r="T22" s="16"/>
      <c r="U22" s="16"/>
      <c r="V22" s="15"/>
      <c r="W22" s="17"/>
      <c r="X22" s="16"/>
      <c r="Y22" s="15"/>
      <c r="Z22" s="15"/>
      <c r="AA22" s="17"/>
      <c r="AB22" s="15"/>
    </row>
    <row r="23" spans="1:28" s="18" customFormat="1" x14ac:dyDescent="0.3">
      <c r="A23" s="88"/>
      <c r="B23" s="93"/>
      <c r="C23" s="93"/>
      <c r="D23" s="14"/>
      <c r="E23" s="14"/>
      <c r="F23" s="14"/>
      <c r="G23" s="14"/>
      <c r="H23" s="14"/>
      <c r="I23" s="16"/>
      <c r="J23" s="15"/>
      <c r="K23" s="15"/>
      <c r="L23" s="17"/>
      <c r="M23" s="16"/>
      <c r="N23" s="15"/>
      <c r="O23" s="15"/>
      <c r="P23" s="17"/>
      <c r="Q23" s="16"/>
      <c r="R23" s="15"/>
      <c r="S23" s="17"/>
      <c r="T23" s="16"/>
      <c r="U23" s="16"/>
      <c r="V23" s="15"/>
      <c r="W23" s="17"/>
      <c r="X23" s="16"/>
      <c r="Y23" s="15"/>
      <c r="Z23" s="15"/>
      <c r="AA23" s="17"/>
      <c r="AB23" s="15"/>
    </row>
    <row r="24" spans="1:28" s="18" customFormat="1" x14ac:dyDescent="0.3">
      <c r="A24" s="88"/>
      <c r="B24" s="93"/>
      <c r="C24" s="93"/>
      <c r="D24" s="15"/>
      <c r="E24" s="15"/>
      <c r="F24" s="15"/>
      <c r="G24" s="15"/>
      <c r="H24" s="15"/>
      <c r="I24" s="16"/>
      <c r="J24" s="15"/>
      <c r="K24" s="15"/>
      <c r="L24" s="17"/>
      <c r="M24" s="19"/>
      <c r="N24" s="14"/>
      <c r="O24" s="14"/>
      <c r="P24" s="20"/>
      <c r="Q24" s="19"/>
      <c r="R24" s="15"/>
      <c r="S24" s="17"/>
      <c r="T24" s="16"/>
      <c r="U24" s="16"/>
      <c r="V24" s="15"/>
      <c r="W24" s="17"/>
      <c r="X24" s="16"/>
      <c r="Y24" s="15"/>
      <c r="Z24" s="15"/>
      <c r="AA24" s="17"/>
      <c r="AB24" s="15"/>
    </row>
    <row r="25" spans="1:28" s="18" customFormat="1" x14ac:dyDescent="0.3">
      <c r="A25" s="88"/>
      <c r="B25" s="93"/>
      <c r="C25" s="93"/>
      <c r="D25" s="15"/>
      <c r="E25" s="15"/>
      <c r="F25" s="15"/>
      <c r="G25" s="15"/>
      <c r="H25" s="15"/>
      <c r="I25" s="16"/>
      <c r="J25" s="15"/>
      <c r="K25" s="15"/>
      <c r="L25" s="17"/>
      <c r="M25" s="16"/>
      <c r="N25" s="15"/>
      <c r="O25" s="15"/>
      <c r="P25" s="17"/>
      <c r="Q25" s="16"/>
      <c r="R25" s="15"/>
      <c r="S25" s="17"/>
      <c r="T25" s="16"/>
      <c r="U25" s="16"/>
      <c r="V25" s="15"/>
      <c r="W25" s="17"/>
      <c r="X25" s="16"/>
      <c r="Y25" s="15"/>
      <c r="Z25" s="15"/>
      <c r="AA25" s="17"/>
      <c r="AB25" s="15"/>
    </row>
    <row r="26" spans="1:28" s="18" customFormat="1" x14ac:dyDescent="0.3">
      <c r="A26" s="88"/>
      <c r="B26" s="93"/>
      <c r="C26" s="93"/>
      <c r="D26" s="14"/>
      <c r="E26" s="14"/>
      <c r="F26" s="14"/>
      <c r="G26" s="14"/>
      <c r="H26" s="14"/>
      <c r="I26" s="16"/>
      <c r="J26" s="15"/>
      <c r="K26" s="15"/>
      <c r="L26" s="17"/>
      <c r="M26" s="19"/>
      <c r="N26" s="14"/>
      <c r="O26" s="14"/>
      <c r="P26" s="20"/>
      <c r="Q26" s="19"/>
      <c r="R26" s="15"/>
      <c r="S26" s="17"/>
      <c r="T26" s="16"/>
      <c r="U26" s="16"/>
      <c r="V26" s="15"/>
      <c r="W26" s="17"/>
      <c r="X26" s="16"/>
      <c r="Y26" s="15"/>
      <c r="Z26" s="15"/>
      <c r="AA26" s="17"/>
      <c r="AB26" s="15"/>
    </row>
    <row r="27" spans="1:28" s="18" customFormat="1" x14ac:dyDescent="0.3">
      <c r="A27" s="88"/>
      <c r="B27" s="93"/>
      <c r="C27" s="93"/>
      <c r="D27" s="15"/>
      <c r="E27" s="15"/>
      <c r="F27" s="15"/>
      <c r="G27" s="15"/>
      <c r="H27" s="15"/>
      <c r="I27" s="16"/>
      <c r="J27" s="15"/>
      <c r="K27" s="15"/>
      <c r="L27" s="17"/>
      <c r="M27" s="16"/>
      <c r="N27" s="15"/>
      <c r="O27" s="15"/>
      <c r="P27" s="17"/>
      <c r="Q27" s="16"/>
      <c r="R27" s="15"/>
      <c r="S27" s="17"/>
      <c r="T27" s="16"/>
      <c r="U27" s="16"/>
      <c r="V27" s="15"/>
      <c r="W27" s="17"/>
      <c r="X27" s="16"/>
      <c r="Y27" s="15"/>
      <c r="Z27" s="15"/>
      <c r="AA27" s="17"/>
      <c r="AB27" s="15"/>
    </row>
    <row r="28" spans="1:28" s="18" customFormat="1" x14ac:dyDescent="0.3">
      <c r="A28" s="88"/>
      <c r="B28" s="93"/>
      <c r="C28" s="93"/>
      <c r="D28" s="15"/>
      <c r="E28" s="15"/>
      <c r="F28" s="15"/>
      <c r="G28" s="15"/>
      <c r="H28" s="15"/>
      <c r="I28" s="16"/>
      <c r="J28" s="15"/>
      <c r="K28" s="15"/>
      <c r="L28" s="17"/>
      <c r="M28" s="19"/>
      <c r="N28" s="14"/>
      <c r="O28" s="14"/>
      <c r="P28" s="20"/>
      <c r="Q28" s="19"/>
      <c r="R28" s="15"/>
      <c r="S28" s="17"/>
      <c r="T28" s="16"/>
      <c r="U28" s="16"/>
      <c r="V28" s="15"/>
      <c r="W28" s="17"/>
      <c r="X28" s="16"/>
      <c r="Y28" s="15"/>
      <c r="Z28" s="15"/>
      <c r="AA28" s="17"/>
      <c r="AB28" s="15"/>
    </row>
    <row r="29" spans="1:28" s="18" customFormat="1" x14ac:dyDescent="0.3">
      <c r="A29" s="88"/>
      <c r="B29" s="93"/>
      <c r="C29" s="93"/>
      <c r="D29" s="14"/>
      <c r="E29" s="14"/>
      <c r="F29" s="14"/>
      <c r="G29" s="14"/>
      <c r="H29" s="14"/>
      <c r="I29" s="16"/>
      <c r="J29" s="15"/>
      <c r="K29" s="15"/>
      <c r="L29" s="17"/>
      <c r="M29" s="16"/>
      <c r="N29" s="15"/>
      <c r="O29" s="15"/>
      <c r="P29" s="17"/>
      <c r="Q29" s="16"/>
      <c r="R29" s="15"/>
      <c r="S29" s="17"/>
      <c r="T29" s="16"/>
      <c r="U29" s="16"/>
      <c r="V29" s="15"/>
      <c r="W29" s="17"/>
      <c r="X29" s="16"/>
      <c r="Y29" s="15"/>
      <c r="Z29" s="15"/>
      <c r="AA29" s="17"/>
      <c r="AB29" s="15"/>
    </row>
    <row r="30" spans="1:28" s="18" customFormat="1" x14ac:dyDescent="0.3">
      <c r="A30" s="88"/>
      <c r="B30" s="93"/>
      <c r="C30" s="93"/>
      <c r="D30" s="15"/>
      <c r="E30" s="15"/>
      <c r="F30" s="15"/>
      <c r="G30" s="15"/>
      <c r="H30" s="15"/>
      <c r="I30" s="16"/>
      <c r="J30" s="15"/>
      <c r="K30" s="15"/>
      <c r="L30" s="17"/>
      <c r="M30" s="19"/>
      <c r="N30" s="14"/>
      <c r="O30" s="14"/>
      <c r="P30" s="20"/>
      <c r="Q30" s="19"/>
      <c r="R30" s="15"/>
      <c r="S30" s="17"/>
      <c r="T30" s="16"/>
      <c r="U30" s="16"/>
      <c r="V30" s="15"/>
      <c r="W30" s="17"/>
      <c r="X30" s="16"/>
      <c r="Y30" s="15"/>
      <c r="Z30" s="15"/>
      <c r="AA30" s="17"/>
      <c r="AB30" s="15"/>
    </row>
    <row r="31" spans="1:28" s="18" customFormat="1" x14ac:dyDescent="0.3">
      <c r="A31" s="88"/>
      <c r="B31" s="93"/>
      <c r="C31" s="93"/>
      <c r="D31" s="15"/>
      <c r="E31" s="15"/>
      <c r="F31" s="15"/>
      <c r="G31" s="15"/>
      <c r="H31" s="15"/>
      <c r="I31" s="16"/>
      <c r="J31" s="15"/>
      <c r="K31" s="15"/>
      <c r="L31" s="17"/>
      <c r="M31" s="16"/>
      <c r="N31" s="15"/>
      <c r="O31" s="15"/>
      <c r="P31" s="17"/>
      <c r="Q31" s="16"/>
      <c r="R31" s="15"/>
      <c r="S31" s="17"/>
      <c r="T31" s="16"/>
      <c r="U31" s="16"/>
      <c r="V31" s="15"/>
      <c r="W31" s="17"/>
      <c r="X31" s="16"/>
      <c r="Y31" s="15"/>
      <c r="Z31" s="15"/>
      <c r="AA31" s="17"/>
      <c r="AB31" s="15"/>
    </row>
    <row r="32" spans="1:28" s="18" customFormat="1" x14ac:dyDescent="0.3">
      <c r="A32" s="88"/>
      <c r="B32" s="93"/>
      <c r="C32" s="93"/>
      <c r="D32" s="14"/>
      <c r="E32" s="14"/>
      <c r="F32" s="14"/>
      <c r="G32" s="14"/>
      <c r="H32" s="14"/>
      <c r="I32" s="16"/>
      <c r="J32" s="15"/>
      <c r="K32" s="15"/>
      <c r="L32" s="17"/>
      <c r="M32" s="19"/>
      <c r="N32" s="14"/>
      <c r="O32" s="14"/>
      <c r="P32" s="20"/>
      <c r="Q32" s="19"/>
      <c r="R32" s="15"/>
      <c r="S32" s="17"/>
      <c r="T32" s="16"/>
      <c r="U32" s="16"/>
      <c r="V32" s="15"/>
      <c r="W32" s="17"/>
      <c r="X32" s="16"/>
      <c r="Y32" s="15"/>
      <c r="Z32" s="15"/>
      <c r="AA32" s="17"/>
      <c r="AB32" s="15"/>
    </row>
    <row r="33" spans="1:28" s="18" customFormat="1" x14ac:dyDescent="0.3">
      <c r="A33" s="88"/>
      <c r="B33" s="93"/>
      <c r="C33" s="93"/>
      <c r="D33" s="15"/>
      <c r="E33" s="15"/>
      <c r="F33" s="15"/>
      <c r="G33" s="15"/>
      <c r="H33" s="15"/>
      <c r="I33" s="16"/>
      <c r="J33" s="15"/>
      <c r="K33" s="15"/>
      <c r="L33" s="17"/>
      <c r="M33" s="16"/>
      <c r="N33" s="15"/>
      <c r="O33" s="15"/>
      <c r="P33" s="17"/>
      <c r="Q33" s="16"/>
      <c r="R33" s="15"/>
      <c r="S33" s="17"/>
      <c r="T33" s="16"/>
      <c r="U33" s="16"/>
      <c r="V33" s="15"/>
      <c r="W33" s="17"/>
      <c r="X33" s="16"/>
      <c r="Y33" s="15"/>
      <c r="Z33" s="15"/>
      <c r="AA33" s="17"/>
      <c r="AB33" s="15"/>
    </row>
    <row r="34" spans="1:28" s="18" customFormat="1" x14ac:dyDescent="0.3">
      <c r="A34" s="88"/>
      <c r="B34" s="93"/>
      <c r="C34" s="93"/>
      <c r="D34" s="15"/>
      <c r="E34" s="15"/>
      <c r="F34" s="15"/>
      <c r="G34" s="15"/>
      <c r="H34" s="15"/>
      <c r="I34" s="16"/>
      <c r="J34" s="15"/>
      <c r="K34" s="15"/>
      <c r="L34" s="17"/>
      <c r="M34" s="19"/>
      <c r="N34" s="14"/>
      <c r="O34" s="14"/>
      <c r="P34" s="20"/>
      <c r="Q34" s="19"/>
      <c r="R34" s="15"/>
      <c r="S34" s="17"/>
      <c r="T34" s="16"/>
      <c r="U34" s="16"/>
      <c r="V34" s="15"/>
      <c r="W34" s="17"/>
      <c r="X34" s="16"/>
      <c r="Y34" s="15"/>
      <c r="Z34" s="15"/>
      <c r="AA34" s="17"/>
      <c r="AB34" s="15"/>
    </row>
    <row r="35" spans="1:28" s="18" customFormat="1" x14ac:dyDescent="0.3">
      <c r="A35" s="88"/>
      <c r="B35" s="93"/>
      <c r="C35" s="93"/>
      <c r="D35" s="14"/>
      <c r="E35" s="14"/>
      <c r="F35" s="14"/>
      <c r="G35" s="14"/>
      <c r="H35" s="14"/>
      <c r="I35" s="16"/>
      <c r="J35" s="15"/>
      <c r="K35" s="15"/>
      <c r="L35" s="17"/>
      <c r="M35" s="16"/>
      <c r="N35" s="15"/>
      <c r="O35" s="15"/>
      <c r="P35" s="17"/>
      <c r="Q35" s="16"/>
      <c r="R35" s="15"/>
      <c r="S35" s="17"/>
      <c r="T35" s="16"/>
      <c r="U35" s="16"/>
      <c r="V35" s="15"/>
      <c r="W35" s="17"/>
      <c r="X35" s="16"/>
      <c r="Y35" s="15"/>
      <c r="Z35" s="15"/>
      <c r="AA35" s="17"/>
      <c r="AB35" s="15"/>
    </row>
    <row r="36" spans="1:28" s="18" customFormat="1" x14ac:dyDescent="0.3">
      <c r="A36" s="88"/>
      <c r="B36" s="93"/>
      <c r="C36" s="93"/>
      <c r="D36" s="15"/>
      <c r="E36" s="15"/>
      <c r="F36" s="15"/>
      <c r="G36" s="15"/>
      <c r="H36" s="15"/>
      <c r="I36" s="16"/>
      <c r="J36" s="15"/>
      <c r="K36" s="15"/>
      <c r="L36" s="17"/>
      <c r="M36" s="19"/>
      <c r="N36" s="14"/>
      <c r="O36" s="14"/>
      <c r="P36" s="20"/>
      <c r="Q36" s="19"/>
      <c r="R36" s="15"/>
      <c r="S36" s="17"/>
      <c r="T36" s="16"/>
      <c r="U36" s="16"/>
      <c r="V36" s="15"/>
      <c r="W36" s="17"/>
      <c r="X36" s="16"/>
      <c r="Y36" s="15"/>
      <c r="Z36" s="15"/>
      <c r="AA36" s="17"/>
      <c r="AB36" s="15"/>
    </row>
    <row r="37" spans="1:28" s="18" customFormat="1" x14ac:dyDescent="0.3">
      <c r="A37" s="88"/>
      <c r="B37" s="93"/>
      <c r="C37" s="93"/>
      <c r="D37" s="15"/>
      <c r="E37" s="15"/>
      <c r="F37" s="15"/>
      <c r="G37" s="15"/>
      <c r="H37" s="15"/>
      <c r="I37" s="16"/>
      <c r="J37" s="15"/>
      <c r="K37" s="15"/>
      <c r="L37" s="17"/>
      <c r="M37" s="16"/>
      <c r="N37" s="15"/>
      <c r="O37" s="15"/>
      <c r="P37" s="17"/>
      <c r="Q37" s="16"/>
      <c r="R37" s="15"/>
      <c r="S37" s="17"/>
      <c r="T37" s="16"/>
      <c r="U37" s="16"/>
      <c r="V37" s="15"/>
      <c r="W37" s="17"/>
      <c r="X37" s="16"/>
      <c r="Y37" s="15"/>
      <c r="Z37" s="15"/>
      <c r="AA37" s="17"/>
      <c r="AB37" s="15"/>
    </row>
    <row r="38" spans="1:28" s="18" customFormat="1" x14ac:dyDescent="0.3">
      <c r="A38" s="88"/>
      <c r="B38" s="93"/>
      <c r="C38" s="93"/>
      <c r="D38" s="14"/>
      <c r="E38" s="14"/>
      <c r="F38" s="14"/>
      <c r="G38" s="14"/>
      <c r="H38" s="14"/>
      <c r="I38" s="16"/>
      <c r="J38" s="15"/>
      <c r="K38" s="15"/>
      <c r="L38" s="17"/>
      <c r="M38" s="19"/>
      <c r="N38" s="14"/>
      <c r="O38" s="14"/>
      <c r="P38" s="20"/>
      <c r="Q38" s="19"/>
      <c r="R38" s="15"/>
      <c r="S38" s="17"/>
      <c r="T38" s="16"/>
      <c r="U38" s="16"/>
      <c r="V38" s="15"/>
      <c r="W38" s="17"/>
      <c r="X38" s="16"/>
      <c r="Y38" s="15"/>
      <c r="Z38" s="15"/>
      <c r="AA38" s="17"/>
      <c r="AB38" s="15"/>
    </row>
    <row r="39" spans="1:28" s="18" customFormat="1" x14ac:dyDescent="0.3">
      <c r="A39" s="88"/>
      <c r="B39" s="93"/>
      <c r="C39" s="93"/>
      <c r="D39" s="15"/>
      <c r="E39" s="15"/>
      <c r="F39" s="15"/>
      <c r="G39" s="15"/>
      <c r="H39" s="15"/>
      <c r="I39" s="16"/>
      <c r="J39" s="15"/>
      <c r="K39" s="15"/>
      <c r="L39" s="17"/>
      <c r="M39" s="16"/>
      <c r="N39" s="15"/>
      <c r="O39" s="15"/>
      <c r="P39" s="17"/>
      <c r="Q39" s="16"/>
      <c r="R39" s="15"/>
      <c r="S39" s="17"/>
      <c r="T39" s="16"/>
      <c r="U39" s="16"/>
      <c r="V39" s="15"/>
      <c r="W39" s="17"/>
      <c r="X39" s="16"/>
      <c r="Y39" s="15"/>
      <c r="Z39" s="15"/>
      <c r="AA39" s="17"/>
      <c r="AB39" s="15"/>
    </row>
    <row r="40" spans="1:28" s="18" customFormat="1" x14ac:dyDescent="0.3">
      <c r="A40" s="88"/>
      <c r="B40" s="93"/>
      <c r="C40" s="93"/>
      <c r="D40" s="15"/>
      <c r="E40" s="15"/>
      <c r="F40" s="15"/>
      <c r="G40" s="15"/>
      <c r="H40" s="15"/>
      <c r="I40" s="16"/>
      <c r="J40" s="15"/>
      <c r="K40" s="15"/>
      <c r="L40" s="17"/>
      <c r="M40" s="19"/>
      <c r="N40" s="14"/>
      <c r="O40" s="14"/>
      <c r="P40" s="20"/>
      <c r="Q40" s="19"/>
      <c r="R40" s="15"/>
      <c r="S40" s="17"/>
      <c r="T40" s="16"/>
      <c r="U40" s="16"/>
      <c r="V40" s="15"/>
      <c r="W40" s="17"/>
      <c r="X40" s="16"/>
      <c r="Y40" s="15"/>
      <c r="Z40" s="15"/>
      <c r="AA40" s="17"/>
      <c r="AB40" s="15"/>
    </row>
    <row r="41" spans="1:28" s="18" customFormat="1" x14ac:dyDescent="0.3">
      <c r="A41" s="88"/>
      <c r="B41" s="93"/>
      <c r="C41" s="93"/>
      <c r="D41" s="14"/>
      <c r="E41" s="14"/>
      <c r="F41" s="14"/>
      <c r="G41" s="14"/>
      <c r="H41" s="14"/>
      <c r="I41" s="16"/>
      <c r="J41" s="15"/>
      <c r="K41" s="15"/>
      <c r="L41" s="17"/>
      <c r="M41" s="16"/>
      <c r="N41" s="15"/>
      <c r="O41" s="15"/>
      <c r="P41" s="17"/>
      <c r="Q41" s="16"/>
      <c r="R41" s="15"/>
      <c r="S41" s="17"/>
      <c r="T41" s="16"/>
      <c r="U41" s="16"/>
      <c r="V41" s="15"/>
      <c r="W41" s="17"/>
      <c r="X41" s="16"/>
      <c r="Y41" s="15"/>
      <c r="Z41" s="15"/>
      <c r="AA41" s="17"/>
      <c r="AB41" s="15"/>
    </row>
    <row r="42" spans="1:28" s="18" customFormat="1" x14ac:dyDescent="0.3">
      <c r="A42" s="88"/>
      <c r="B42" s="93"/>
      <c r="C42" s="93"/>
      <c r="D42" s="15"/>
      <c r="E42" s="15"/>
      <c r="F42" s="15"/>
      <c r="G42" s="15"/>
      <c r="H42" s="15"/>
      <c r="I42" s="16"/>
      <c r="J42" s="15"/>
      <c r="K42" s="15"/>
      <c r="L42" s="17"/>
      <c r="M42" s="19"/>
      <c r="N42" s="14"/>
      <c r="O42" s="14"/>
      <c r="P42" s="20"/>
      <c r="Q42" s="19"/>
      <c r="R42" s="15"/>
      <c r="S42" s="17"/>
      <c r="T42" s="16"/>
      <c r="U42" s="16"/>
      <c r="V42" s="15"/>
      <c r="W42" s="17"/>
      <c r="X42" s="16"/>
      <c r="Y42" s="15"/>
      <c r="Z42" s="15"/>
      <c r="AA42" s="17"/>
      <c r="AB42" s="15"/>
    </row>
    <row r="43" spans="1:28" s="18" customFormat="1" x14ac:dyDescent="0.3">
      <c r="A43" s="88"/>
      <c r="B43" s="93"/>
      <c r="C43" s="93"/>
      <c r="D43" s="15"/>
      <c r="E43" s="15"/>
      <c r="F43" s="15"/>
      <c r="G43" s="15"/>
      <c r="H43" s="15"/>
      <c r="I43" s="16"/>
      <c r="J43" s="15"/>
      <c r="K43" s="15"/>
      <c r="L43" s="17"/>
      <c r="M43" s="16"/>
      <c r="N43" s="15"/>
      <c r="O43" s="15"/>
      <c r="P43" s="17"/>
      <c r="Q43" s="16"/>
      <c r="R43" s="15"/>
      <c r="S43" s="17"/>
      <c r="T43" s="16"/>
      <c r="U43" s="16"/>
      <c r="V43" s="15"/>
      <c r="W43" s="17"/>
      <c r="X43" s="16"/>
      <c r="Y43" s="15"/>
      <c r="Z43" s="15"/>
      <c r="AA43" s="17"/>
      <c r="AB43" s="15"/>
    </row>
    <row r="44" spans="1:28" s="18" customFormat="1" x14ac:dyDescent="0.3">
      <c r="A44" s="88"/>
      <c r="B44" s="93"/>
      <c r="C44" s="93"/>
      <c r="D44" s="14"/>
      <c r="E44" s="14"/>
      <c r="F44" s="14"/>
      <c r="G44" s="14"/>
      <c r="H44" s="14"/>
      <c r="I44" s="16"/>
      <c r="J44" s="15"/>
      <c r="K44" s="15"/>
      <c r="L44" s="17"/>
      <c r="M44" s="19"/>
      <c r="N44" s="14"/>
      <c r="O44" s="14"/>
      <c r="P44" s="20"/>
      <c r="Q44" s="19"/>
      <c r="R44" s="15"/>
      <c r="S44" s="17"/>
      <c r="T44" s="16"/>
      <c r="U44" s="16"/>
      <c r="V44" s="15"/>
      <c r="W44" s="17"/>
      <c r="X44" s="16"/>
      <c r="Y44" s="15"/>
      <c r="Z44" s="15"/>
      <c r="AA44" s="17"/>
      <c r="AB44" s="15"/>
    </row>
    <row r="45" spans="1:28" s="18" customFormat="1" x14ac:dyDescent="0.3">
      <c r="A45" s="88"/>
      <c r="B45" s="93"/>
      <c r="C45" s="93"/>
      <c r="D45" s="15"/>
      <c r="E45" s="15"/>
      <c r="F45" s="15"/>
      <c r="G45" s="15"/>
      <c r="H45" s="15"/>
      <c r="I45" s="16"/>
      <c r="J45" s="15"/>
      <c r="K45" s="15"/>
      <c r="L45" s="17"/>
      <c r="M45" s="16"/>
      <c r="N45" s="15"/>
      <c r="O45" s="15"/>
      <c r="P45" s="17"/>
      <c r="Q45" s="16"/>
      <c r="R45" s="15"/>
      <c r="S45" s="17"/>
      <c r="T45" s="16"/>
      <c r="U45" s="16"/>
      <c r="V45" s="15"/>
      <c r="W45" s="17"/>
      <c r="X45" s="16"/>
      <c r="Y45" s="15"/>
      <c r="Z45" s="15"/>
      <c r="AA45" s="17"/>
      <c r="AB45" s="15"/>
    </row>
    <row r="46" spans="1:28" s="18" customFormat="1" x14ac:dyDescent="0.3">
      <c r="A46" s="88"/>
      <c r="B46" s="93"/>
      <c r="C46" s="93"/>
      <c r="D46" s="15"/>
      <c r="E46" s="15"/>
      <c r="F46" s="15"/>
      <c r="G46" s="15"/>
      <c r="H46" s="15"/>
      <c r="I46" s="16"/>
      <c r="J46" s="15"/>
      <c r="K46" s="15"/>
      <c r="L46" s="17"/>
      <c r="M46" s="19"/>
      <c r="N46" s="14"/>
      <c r="O46" s="14"/>
      <c r="P46" s="20"/>
      <c r="Q46" s="19"/>
      <c r="R46" s="15"/>
      <c r="S46" s="17"/>
      <c r="T46" s="16"/>
      <c r="U46" s="16"/>
      <c r="V46" s="15"/>
      <c r="W46" s="17"/>
      <c r="X46" s="16"/>
      <c r="Y46" s="15"/>
      <c r="Z46" s="15"/>
      <c r="AA46" s="17"/>
      <c r="AB46" s="15"/>
    </row>
    <row r="47" spans="1:28" s="18" customFormat="1" x14ac:dyDescent="0.3">
      <c r="A47" s="88"/>
      <c r="B47" s="93"/>
      <c r="C47" s="93"/>
      <c r="D47" s="14"/>
      <c r="E47" s="14"/>
      <c r="F47" s="14"/>
      <c r="G47" s="14"/>
      <c r="H47" s="14"/>
      <c r="I47" s="16"/>
      <c r="J47" s="15"/>
      <c r="K47" s="15"/>
      <c r="L47" s="17"/>
      <c r="M47" s="16"/>
      <c r="N47" s="15"/>
      <c r="O47" s="15"/>
      <c r="P47" s="17"/>
      <c r="Q47" s="16"/>
      <c r="R47" s="15"/>
      <c r="S47" s="17"/>
      <c r="T47" s="16"/>
      <c r="U47" s="16"/>
      <c r="V47" s="15"/>
      <c r="W47" s="17"/>
      <c r="X47" s="16"/>
      <c r="Y47" s="15"/>
      <c r="Z47" s="15"/>
      <c r="AA47" s="17"/>
      <c r="AB47" s="15"/>
    </row>
    <row r="48" spans="1:28" s="18" customFormat="1" x14ac:dyDescent="0.3">
      <c r="A48" s="88"/>
      <c r="B48" s="93"/>
      <c r="C48" s="93"/>
      <c r="D48" s="15"/>
      <c r="E48" s="15"/>
      <c r="F48" s="15"/>
      <c r="G48" s="15"/>
      <c r="H48" s="15"/>
      <c r="I48" s="16"/>
      <c r="J48" s="15"/>
      <c r="K48" s="15"/>
      <c r="L48" s="17"/>
      <c r="M48" s="19"/>
      <c r="N48" s="14"/>
      <c r="O48" s="14"/>
      <c r="P48" s="20"/>
      <c r="Q48" s="19"/>
      <c r="R48" s="15"/>
      <c r="S48" s="17"/>
      <c r="T48" s="16"/>
      <c r="U48" s="16"/>
      <c r="V48" s="15"/>
      <c r="W48" s="17"/>
      <c r="X48" s="16"/>
      <c r="Y48" s="15"/>
      <c r="Z48" s="15"/>
      <c r="AA48" s="17"/>
      <c r="AB48" s="15"/>
    </row>
    <row r="49" spans="1:28" s="18" customFormat="1" x14ac:dyDescent="0.3">
      <c r="A49" s="88"/>
      <c r="B49" s="93"/>
      <c r="C49" s="93"/>
      <c r="D49" s="15"/>
      <c r="E49" s="15"/>
      <c r="F49" s="15"/>
      <c r="G49" s="15"/>
      <c r="H49" s="15"/>
      <c r="I49" s="16"/>
      <c r="J49" s="15"/>
      <c r="K49" s="15"/>
      <c r="L49" s="17"/>
      <c r="M49" s="16"/>
      <c r="N49" s="15"/>
      <c r="O49" s="15"/>
      <c r="P49" s="17"/>
      <c r="Q49" s="16"/>
      <c r="R49" s="15"/>
      <c r="S49" s="17"/>
      <c r="T49" s="16"/>
      <c r="U49" s="16"/>
      <c r="V49" s="15"/>
      <c r="W49" s="17"/>
      <c r="X49" s="16"/>
      <c r="Y49" s="15"/>
      <c r="Z49" s="15"/>
      <c r="AA49" s="17"/>
      <c r="AB49" s="15"/>
    </row>
    <row r="50" spans="1:28" s="18" customFormat="1" x14ac:dyDescent="0.3">
      <c r="A50" s="88"/>
      <c r="B50" s="93"/>
      <c r="C50" s="93"/>
      <c r="D50" s="14"/>
      <c r="E50" s="14"/>
      <c r="F50" s="14"/>
      <c r="G50" s="14"/>
      <c r="H50" s="14"/>
      <c r="I50" s="16"/>
      <c r="J50" s="15"/>
      <c r="K50" s="15"/>
      <c r="L50" s="17"/>
      <c r="M50" s="19"/>
      <c r="N50" s="14"/>
      <c r="O50" s="14"/>
      <c r="P50" s="20"/>
      <c r="Q50" s="19"/>
      <c r="R50" s="15"/>
      <c r="S50" s="17"/>
      <c r="T50" s="16"/>
      <c r="U50" s="16"/>
      <c r="V50" s="15"/>
      <c r="W50" s="17"/>
      <c r="X50" s="16"/>
      <c r="Y50" s="15"/>
      <c r="Z50" s="15"/>
      <c r="AA50" s="17"/>
      <c r="AB50" s="15"/>
    </row>
    <row r="51" spans="1:28" s="18" customFormat="1" x14ac:dyDescent="0.3">
      <c r="A51" s="88"/>
      <c r="B51" s="93"/>
      <c r="C51" s="93"/>
      <c r="D51" s="15"/>
      <c r="E51" s="15"/>
      <c r="F51" s="15"/>
      <c r="G51" s="15"/>
      <c r="H51" s="15"/>
      <c r="I51" s="16"/>
      <c r="J51" s="15"/>
      <c r="K51" s="15"/>
      <c r="L51" s="17"/>
      <c r="M51" s="16"/>
      <c r="N51" s="15"/>
      <c r="O51" s="15"/>
      <c r="P51" s="17"/>
      <c r="Q51" s="16"/>
      <c r="R51" s="15"/>
      <c r="S51" s="17"/>
      <c r="T51" s="16"/>
      <c r="U51" s="16"/>
      <c r="V51" s="15"/>
      <c r="W51" s="17"/>
      <c r="X51" s="16"/>
      <c r="Y51" s="15"/>
      <c r="Z51" s="15"/>
      <c r="AA51" s="17"/>
      <c r="AB51" s="15"/>
    </row>
    <row r="52" spans="1:28" s="18" customFormat="1" x14ac:dyDescent="0.3">
      <c r="A52" s="88"/>
      <c r="B52" s="93"/>
      <c r="C52" s="93"/>
      <c r="D52" s="15"/>
      <c r="E52" s="15"/>
      <c r="F52" s="15"/>
      <c r="G52" s="15"/>
      <c r="H52" s="15"/>
      <c r="I52" s="16"/>
      <c r="J52" s="15"/>
      <c r="K52" s="15"/>
      <c r="L52" s="17"/>
      <c r="M52" s="19"/>
      <c r="N52" s="14"/>
      <c r="O52" s="14"/>
      <c r="P52" s="20"/>
      <c r="Q52" s="19"/>
      <c r="R52" s="15"/>
      <c r="S52" s="17"/>
      <c r="T52" s="16"/>
      <c r="U52" s="16"/>
      <c r="V52" s="15"/>
      <c r="W52" s="17"/>
      <c r="X52" s="16"/>
      <c r="Y52" s="15"/>
      <c r="Z52" s="15"/>
      <c r="AA52" s="17"/>
      <c r="AB52" s="15"/>
    </row>
    <row r="53" spans="1:28" s="18" customFormat="1" x14ac:dyDescent="0.3">
      <c r="A53" s="88"/>
      <c r="B53" s="93"/>
      <c r="C53" s="93"/>
      <c r="D53" s="14"/>
      <c r="E53" s="14"/>
      <c r="F53" s="14"/>
      <c r="G53" s="14"/>
      <c r="H53" s="14"/>
      <c r="I53" s="16"/>
      <c r="J53" s="15"/>
      <c r="K53" s="15"/>
      <c r="L53" s="17"/>
      <c r="M53" s="16"/>
      <c r="N53" s="15"/>
      <c r="O53" s="15"/>
      <c r="P53" s="17"/>
      <c r="Q53" s="16"/>
      <c r="R53" s="15"/>
      <c r="S53" s="17"/>
      <c r="T53" s="16"/>
      <c r="U53" s="16"/>
      <c r="V53" s="15"/>
      <c r="W53" s="17"/>
      <c r="X53" s="16"/>
      <c r="Y53" s="15"/>
      <c r="Z53" s="15"/>
      <c r="AA53" s="17"/>
      <c r="AB53" s="15"/>
    </row>
    <row r="54" spans="1:28" s="18" customFormat="1" x14ac:dyDescent="0.3">
      <c r="A54" s="88"/>
      <c r="B54" s="93"/>
      <c r="C54" s="93"/>
      <c r="D54" s="15"/>
      <c r="E54" s="15"/>
      <c r="F54" s="15"/>
      <c r="G54" s="15"/>
      <c r="H54" s="15"/>
      <c r="I54" s="16"/>
      <c r="J54" s="15"/>
      <c r="K54" s="15"/>
      <c r="L54" s="17"/>
      <c r="M54" s="19"/>
      <c r="N54" s="14"/>
      <c r="O54" s="14"/>
      <c r="P54" s="20"/>
      <c r="Q54" s="19"/>
      <c r="R54" s="15"/>
      <c r="S54" s="17"/>
      <c r="T54" s="16"/>
      <c r="U54" s="16"/>
      <c r="V54" s="15"/>
      <c r="W54" s="17"/>
      <c r="X54" s="16"/>
      <c r="Y54" s="15"/>
      <c r="Z54" s="15"/>
      <c r="AA54" s="17"/>
      <c r="AB54" s="15"/>
    </row>
    <row r="55" spans="1:28" s="18" customFormat="1" x14ac:dyDescent="0.3">
      <c r="A55" s="88"/>
      <c r="B55" s="93"/>
      <c r="C55" s="93"/>
      <c r="D55" s="15"/>
      <c r="E55" s="15"/>
      <c r="F55" s="15"/>
      <c r="G55" s="15"/>
      <c r="H55" s="15"/>
      <c r="I55" s="16"/>
      <c r="J55" s="15"/>
      <c r="K55" s="15"/>
      <c r="L55" s="17"/>
      <c r="M55" s="16"/>
      <c r="N55" s="15"/>
      <c r="O55" s="15"/>
      <c r="P55" s="17"/>
      <c r="Q55" s="16"/>
      <c r="R55" s="15"/>
      <c r="S55" s="17"/>
      <c r="T55" s="16"/>
      <c r="U55" s="16"/>
      <c r="V55" s="15"/>
      <c r="W55" s="17"/>
      <c r="X55" s="16"/>
      <c r="Y55" s="15"/>
      <c r="Z55" s="15"/>
      <c r="AA55" s="17"/>
      <c r="AB55" s="15"/>
    </row>
    <row r="56" spans="1:28" s="18" customFormat="1" x14ac:dyDescent="0.3">
      <c r="A56" s="88"/>
      <c r="B56" s="93"/>
      <c r="C56" s="93"/>
      <c r="D56" s="14"/>
      <c r="E56" s="14"/>
      <c r="F56" s="14"/>
      <c r="G56" s="14"/>
      <c r="H56" s="14"/>
      <c r="I56" s="16"/>
      <c r="J56" s="15"/>
      <c r="K56" s="15"/>
      <c r="L56" s="17"/>
      <c r="M56" s="19"/>
      <c r="N56" s="14"/>
      <c r="O56" s="14"/>
      <c r="P56" s="20"/>
      <c r="Q56" s="19"/>
      <c r="R56" s="15"/>
      <c r="S56" s="17"/>
      <c r="T56" s="16"/>
      <c r="U56" s="16"/>
      <c r="V56" s="15"/>
      <c r="W56" s="17"/>
      <c r="X56" s="16"/>
      <c r="Y56" s="15"/>
      <c r="Z56" s="15"/>
      <c r="AA56" s="17"/>
      <c r="AB56" s="15"/>
    </row>
    <row r="57" spans="1:28" s="18" customFormat="1" x14ac:dyDescent="0.3">
      <c r="A57" s="88"/>
      <c r="B57" s="93"/>
      <c r="C57" s="93"/>
      <c r="D57" s="15"/>
      <c r="E57" s="15"/>
      <c r="F57" s="15"/>
      <c r="G57" s="15"/>
      <c r="H57" s="15"/>
      <c r="I57" s="16"/>
      <c r="J57" s="15"/>
      <c r="K57" s="15"/>
      <c r="L57" s="17"/>
      <c r="M57" s="16"/>
      <c r="N57" s="15"/>
      <c r="O57" s="15"/>
      <c r="P57" s="17"/>
      <c r="Q57" s="16"/>
      <c r="R57" s="15"/>
      <c r="S57" s="17"/>
      <c r="T57" s="16"/>
      <c r="U57" s="16"/>
      <c r="V57" s="15"/>
      <c r="W57" s="17"/>
      <c r="X57" s="16"/>
      <c r="Y57" s="15"/>
      <c r="Z57" s="15"/>
      <c r="AA57" s="17"/>
      <c r="AB57" s="15"/>
    </row>
    <row r="58" spans="1:28" s="18" customFormat="1" x14ac:dyDescent="0.3">
      <c r="A58" s="88"/>
      <c r="B58" s="93"/>
      <c r="C58" s="93"/>
      <c r="D58" s="15"/>
      <c r="E58" s="15"/>
      <c r="F58" s="15"/>
      <c r="G58" s="15"/>
      <c r="H58" s="15"/>
      <c r="I58" s="16"/>
      <c r="J58" s="15"/>
      <c r="K58" s="15"/>
      <c r="L58" s="17"/>
      <c r="M58" s="19"/>
      <c r="N58" s="14"/>
      <c r="O58" s="14"/>
      <c r="P58" s="20"/>
      <c r="Q58" s="19"/>
      <c r="R58" s="15"/>
      <c r="S58" s="17"/>
      <c r="T58" s="16"/>
      <c r="U58" s="16"/>
      <c r="V58" s="15"/>
      <c r="W58" s="17"/>
      <c r="X58" s="16"/>
      <c r="Y58" s="15"/>
      <c r="Z58" s="15"/>
      <c r="AA58" s="17"/>
      <c r="AB58" s="15"/>
    </row>
    <row r="59" spans="1:28" s="18" customFormat="1" x14ac:dyDescent="0.3">
      <c r="A59" s="88"/>
      <c r="B59" s="93"/>
      <c r="C59" s="93"/>
      <c r="D59" s="14"/>
      <c r="E59" s="14"/>
      <c r="F59" s="14"/>
      <c r="G59" s="14"/>
      <c r="H59" s="14"/>
      <c r="I59" s="16"/>
      <c r="J59" s="15"/>
      <c r="K59" s="15"/>
      <c r="L59" s="17"/>
      <c r="M59" s="16"/>
      <c r="N59" s="15"/>
      <c r="O59" s="15"/>
      <c r="P59" s="17"/>
      <c r="Q59" s="16"/>
      <c r="R59" s="15"/>
      <c r="S59" s="17"/>
      <c r="T59" s="16"/>
      <c r="U59" s="16"/>
      <c r="V59" s="15"/>
      <c r="W59" s="17"/>
      <c r="X59" s="16"/>
      <c r="Y59" s="15"/>
      <c r="Z59" s="15"/>
      <c r="AA59" s="17"/>
      <c r="AB59" s="15"/>
    </row>
    <row r="60" spans="1:28" s="18" customFormat="1" x14ac:dyDescent="0.3">
      <c r="A60" s="88"/>
      <c r="B60" s="93"/>
      <c r="C60" s="93"/>
      <c r="D60" s="15"/>
      <c r="E60" s="15"/>
      <c r="F60" s="15"/>
      <c r="G60" s="15"/>
      <c r="H60" s="15"/>
      <c r="I60" s="16"/>
      <c r="J60" s="15"/>
      <c r="K60" s="15"/>
      <c r="L60" s="17"/>
      <c r="M60" s="19"/>
      <c r="N60" s="14"/>
      <c r="O60" s="14"/>
      <c r="P60" s="20"/>
      <c r="Q60" s="19"/>
      <c r="R60" s="15"/>
      <c r="S60" s="17"/>
      <c r="T60" s="16"/>
      <c r="U60" s="16"/>
      <c r="V60" s="15"/>
      <c r="W60" s="17"/>
      <c r="X60" s="16"/>
      <c r="Y60" s="15"/>
      <c r="Z60" s="15"/>
      <c r="AA60" s="17"/>
      <c r="AB60" s="15"/>
    </row>
    <row r="61" spans="1:28" s="18" customFormat="1" x14ac:dyDescent="0.3">
      <c r="A61" s="88"/>
      <c r="B61" s="93"/>
      <c r="C61" s="93"/>
      <c r="D61" s="15"/>
      <c r="E61" s="15"/>
      <c r="F61" s="15"/>
      <c r="G61" s="15"/>
      <c r="H61" s="15"/>
      <c r="I61" s="16"/>
      <c r="J61" s="15"/>
      <c r="K61" s="15"/>
      <c r="L61" s="17"/>
      <c r="M61" s="16"/>
      <c r="N61" s="15"/>
      <c r="O61" s="15"/>
      <c r="P61" s="17"/>
      <c r="Q61" s="16"/>
      <c r="R61" s="15"/>
      <c r="S61" s="17"/>
      <c r="T61" s="16"/>
      <c r="U61" s="16"/>
      <c r="V61" s="15"/>
      <c r="W61" s="17"/>
      <c r="X61" s="16"/>
      <c r="Y61" s="15"/>
      <c r="Z61" s="15"/>
      <c r="AA61" s="17"/>
      <c r="AB61" s="15"/>
    </row>
    <row r="62" spans="1:28" s="18" customFormat="1" x14ac:dyDescent="0.3">
      <c r="A62" s="88"/>
      <c r="B62" s="93"/>
      <c r="C62" s="93"/>
      <c r="D62" s="14"/>
      <c r="E62" s="14"/>
      <c r="F62" s="14"/>
      <c r="G62" s="14"/>
      <c r="H62" s="14"/>
      <c r="I62" s="16"/>
      <c r="J62" s="15"/>
      <c r="K62" s="15"/>
      <c r="L62" s="17"/>
      <c r="M62" s="19"/>
      <c r="N62" s="14"/>
      <c r="O62" s="14"/>
      <c r="P62" s="20"/>
      <c r="Q62" s="19"/>
      <c r="R62" s="15"/>
      <c r="S62" s="17"/>
      <c r="T62" s="16"/>
      <c r="U62" s="16"/>
      <c r="V62" s="15"/>
      <c r="W62" s="17"/>
      <c r="X62" s="16"/>
      <c r="Y62" s="15"/>
      <c r="Z62" s="15"/>
      <c r="AA62" s="17"/>
      <c r="AB62" s="15"/>
    </row>
    <row r="63" spans="1:28" s="18" customFormat="1" x14ac:dyDescent="0.3">
      <c r="A63" s="88"/>
      <c r="B63" s="93"/>
      <c r="C63" s="93"/>
      <c r="D63" s="15"/>
      <c r="E63" s="15"/>
      <c r="F63" s="15"/>
      <c r="G63" s="15"/>
      <c r="H63" s="15"/>
      <c r="I63" s="16"/>
      <c r="J63" s="15"/>
      <c r="K63" s="15"/>
      <c r="L63" s="17"/>
      <c r="M63" s="16"/>
      <c r="N63" s="15"/>
      <c r="O63" s="15"/>
      <c r="P63" s="17"/>
      <c r="Q63" s="16"/>
      <c r="R63" s="15"/>
      <c r="S63" s="17"/>
      <c r="T63" s="16"/>
      <c r="U63" s="16"/>
      <c r="V63" s="15"/>
      <c r="W63" s="17"/>
      <c r="X63" s="16"/>
      <c r="Y63" s="15"/>
      <c r="Z63" s="15"/>
      <c r="AA63" s="17"/>
      <c r="AB63" s="15"/>
    </row>
    <row r="64" spans="1:28" s="18" customFormat="1" x14ac:dyDescent="0.3">
      <c r="A64" s="88"/>
      <c r="B64" s="93"/>
      <c r="C64" s="93"/>
      <c r="D64" s="15"/>
      <c r="E64" s="15"/>
      <c r="F64" s="15"/>
      <c r="G64" s="15"/>
      <c r="H64" s="15"/>
      <c r="I64" s="16"/>
      <c r="J64" s="15"/>
      <c r="K64" s="15"/>
      <c r="L64" s="17"/>
      <c r="M64" s="19"/>
      <c r="N64" s="14"/>
      <c r="O64" s="14"/>
      <c r="P64" s="20"/>
      <c r="Q64" s="19"/>
      <c r="R64" s="15"/>
      <c r="S64" s="17"/>
      <c r="T64" s="16"/>
      <c r="U64" s="16"/>
      <c r="V64" s="15"/>
      <c r="W64" s="17"/>
      <c r="X64" s="16"/>
      <c r="Y64" s="15"/>
      <c r="Z64" s="15"/>
      <c r="AA64" s="17"/>
      <c r="AB64" s="15"/>
    </row>
    <row r="65" spans="1:28" s="18" customFormat="1" x14ac:dyDescent="0.3">
      <c r="A65" s="88"/>
      <c r="B65" s="93"/>
      <c r="C65" s="93"/>
      <c r="D65" s="14"/>
      <c r="E65" s="14"/>
      <c r="F65" s="14"/>
      <c r="G65" s="14"/>
      <c r="H65" s="14"/>
      <c r="I65" s="16"/>
      <c r="J65" s="15"/>
      <c r="K65" s="15"/>
      <c r="L65" s="17"/>
      <c r="M65" s="16"/>
      <c r="N65" s="15"/>
      <c r="O65" s="15"/>
      <c r="P65" s="17"/>
      <c r="Q65" s="16"/>
      <c r="R65" s="15"/>
      <c r="S65" s="17"/>
      <c r="T65" s="16"/>
      <c r="U65" s="16"/>
      <c r="V65" s="15"/>
      <c r="W65" s="17"/>
      <c r="X65" s="16"/>
      <c r="Y65" s="15"/>
      <c r="Z65" s="15"/>
      <c r="AA65" s="17"/>
      <c r="AB65" s="15"/>
    </row>
    <row r="66" spans="1:28" s="18" customFormat="1" x14ac:dyDescent="0.3">
      <c r="A66" s="88"/>
      <c r="B66" s="93"/>
      <c r="C66" s="93"/>
      <c r="D66" s="15"/>
      <c r="E66" s="15"/>
      <c r="F66" s="15"/>
      <c r="G66" s="15"/>
      <c r="H66" s="15"/>
      <c r="I66" s="16"/>
      <c r="J66" s="15"/>
      <c r="K66" s="15"/>
      <c r="L66" s="17"/>
      <c r="M66" s="19"/>
      <c r="N66" s="14"/>
      <c r="O66" s="14"/>
      <c r="P66" s="20"/>
      <c r="Q66" s="19"/>
      <c r="R66" s="15"/>
      <c r="S66" s="17"/>
      <c r="T66" s="16"/>
      <c r="U66" s="16"/>
      <c r="V66" s="15"/>
      <c r="W66" s="17"/>
      <c r="X66" s="16"/>
      <c r="Y66" s="15"/>
      <c r="Z66" s="15"/>
      <c r="AA66" s="17"/>
      <c r="AB66" s="15"/>
    </row>
    <row r="67" spans="1:28" s="18" customFormat="1" x14ac:dyDescent="0.3">
      <c r="A67" s="88"/>
      <c r="B67" s="93"/>
      <c r="C67" s="93"/>
      <c r="D67" s="15"/>
      <c r="E67" s="15"/>
      <c r="F67" s="15"/>
      <c r="G67" s="15"/>
      <c r="H67" s="15"/>
      <c r="I67" s="16"/>
      <c r="J67" s="15"/>
      <c r="K67" s="15"/>
      <c r="L67" s="17"/>
      <c r="M67" s="16"/>
      <c r="N67" s="15"/>
      <c r="O67" s="15"/>
      <c r="P67" s="17"/>
      <c r="Q67" s="16"/>
      <c r="R67" s="15"/>
      <c r="S67" s="17"/>
      <c r="T67" s="16"/>
      <c r="U67" s="16"/>
      <c r="V67" s="15"/>
      <c r="W67" s="17"/>
      <c r="X67" s="16"/>
      <c r="Y67" s="15"/>
      <c r="Z67" s="15"/>
      <c r="AA67" s="17"/>
      <c r="AB67" s="15"/>
    </row>
    <row r="68" spans="1:28" s="18" customFormat="1" x14ac:dyDescent="0.3">
      <c r="A68" s="88"/>
      <c r="B68" s="93"/>
      <c r="C68" s="93"/>
      <c r="D68" s="14"/>
      <c r="E68" s="14"/>
      <c r="F68" s="14"/>
      <c r="G68" s="14"/>
      <c r="H68" s="14"/>
      <c r="I68" s="16"/>
      <c r="J68" s="15"/>
      <c r="K68" s="15"/>
      <c r="L68" s="17"/>
      <c r="M68" s="19"/>
      <c r="N68" s="14"/>
      <c r="O68" s="14"/>
      <c r="P68" s="20"/>
      <c r="Q68" s="19"/>
      <c r="R68" s="15"/>
      <c r="S68" s="17"/>
      <c r="T68" s="16"/>
      <c r="U68" s="16"/>
      <c r="V68" s="15"/>
      <c r="W68" s="17"/>
      <c r="X68" s="16"/>
      <c r="Y68" s="15"/>
      <c r="Z68" s="15"/>
      <c r="AA68" s="17"/>
      <c r="AB68" s="15"/>
    </row>
    <row r="69" spans="1:28" s="18" customFormat="1" x14ac:dyDescent="0.3">
      <c r="A69" s="88"/>
      <c r="B69" s="93"/>
      <c r="C69" s="93"/>
      <c r="D69" s="15"/>
      <c r="E69" s="15"/>
      <c r="F69" s="15"/>
      <c r="G69" s="15"/>
      <c r="H69" s="15"/>
      <c r="I69" s="16"/>
      <c r="J69" s="15"/>
      <c r="K69" s="15"/>
      <c r="L69" s="17"/>
      <c r="M69" s="16"/>
      <c r="N69" s="15"/>
      <c r="O69" s="15"/>
      <c r="P69" s="17"/>
      <c r="Q69" s="16"/>
      <c r="R69" s="15"/>
      <c r="S69" s="17"/>
      <c r="T69" s="16"/>
      <c r="U69" s="16"/>
      <c r="V69" s="15"/>
      <c r="W69" s="17"/>
      <c r="X69" s="16"/>
      <c r="Y69" s="15"/>
      <c r="Z69" s="15"/>
      <c r="AA69" s="17"/>
      <c r="AB69" s="15"/>
    </row>
    <row r="70" spans="1:28" s="18" customFormat="1" x14ac:dyDescent="0.3">
      <c r="A70" s="88"/>
      <c r="B70" s="93"/>
      <c r="C70" s="93"/>
      <c r="D70" s="15"/>
      <c r="E70" s="15"/>
      <c r="F70" s="15"/>
      <c r="G70" s="15"/>
      <c r="H70" s="15"/>
      <c r="I70" s="16"/>
      <c r="J70" s="15"/>
      <c r="K70" s="15"/>
      <c r="L70" s="17"/>
      <c r="M70" s="19"/>
      <c r="N70" s="14"/>
      <c r="O70" s="14"/>
      <c r="P70" s="20"/>
      <c r="Q70" s="19"/>
      <c r="R70" s="15"/>
      <c r="S70" s="17"/>
      <c r="T70" s="16"/>
      <c r="U70" s="16"/>
      <c r="V70" s="15"/>
      <c r="W70" s="17"/>
      <c r="X70" s="16"/>
      <c r="Y70" s="15"/>
      <c r="Z70" s="15"/>
      <c r="AA70" s="17"/>
      <c r="AB70" s="15"/>
    </row>
    <row r="71" spans="1:28" s="18" customFormat="1" x14ac:dyDescent="0.3">
      <c r="A71" s="88"/>
      <c r="B71" s="93"/>
      <c r="C71" s="93"/>
      <c r="D71" s="14"/>
      <c r="E71" s="14"/>
      <c r="F71" s="14"/>
      <c r="G71" s="14"/>
      <c r="H71" s="14"/>
      <c r="I71" s="16"/>
      <c r="J71" s="15"/>
      <c r="K71" s="15"/>
      <c r="L71" s="17"/>
      <c r="M71" s="16"/>
      <c r="N71" s="15"/>
      <c r="O71" s="15"/>
      <c r="P71" s="17"/>
      <c r="Q71" s="16"/>
      <c r="R71" s="15"/>
      <c r="S71" s="17"/>
      <c r="T71" s="16"/>
      <c r="U71" s="16"/>
      <c r="V71" s="15"/>
      <c r="W71" s="17"/>
      <c r="X71" s="16"/>
      <c r="Y71" s="15"/>
      <c r="Z71" s="15"/>
      <c r="AA71" s="17"/>
      <c r="AB71" s="15"/>
    </row>
    <row r="72" spans="1:28" s="18" customFormat="1" x14ac:dyDescent="0.3">
      <c r="A72" s="88"/>
      <c r="B72" s="93"/>
      <c r="C72" s="93"/>
      <c r="D72" s="15"/>
      <c r="E72" s="15"/>
      <c r="F72" s="15"/>
      <c r="G72" s="15"/>
      <c r="H72" s="15"/>
      <c r="I72" s="16"/>
      <c r="J72" s="15"/>
      <c r="K72" s="15"/>
      <c r="L72" s="17"/>
      <c r="M72" s="19"/>
      <c r="N72" s="14"/>
      <c r="O72" s="14"/>
      <c r="P72" s="20"/>
      <c r="Q72" s="19"/>
      <c r="R72" s="15"/>
      <c r="S72" s="17"/>
      <c r="T72" s="16"/>
      <c r="U72" s="16"/>
      <c r="V72" s="15"/>
      <c r="W72" s="17"/>
      <c r="X72" s="16"/>
      <c r="Y72" s="15"/>
      <c r="Z72" s="15"/>
      <c r="AA72" s="17"/>
      <c r="AB72" s="15"/>
    </row>
    <row r="73" spans="1:28" s="18" customFormat="1" x14ac:dyDescent="0.3">
      <c r="A73" s="88"/>
      <c r="B73" s="93"/>
      <c r="C73" s="93"/>
      <c r="D73" s="15"/>
      <c r="E73" s="15"/>
      <c r="F73" s="15"/>
      <c r="G73" s="15"/>
      <c r="H73" s="15"/>
      <c r="I73" s="16"/>
      <c r="J73" s="15"/>
      <c r="K73" s="15"/>
      <c r="L73" s="17"/>
      <c r="M73" s="16"/>
      <c r="N73" s="15"/>
      <c r="O73" s="15"/>
      <c r="P73" s="17"/>
      <c r="Q73" s="16"/>
      <c r="R73" s="15"/>
      <c r="S73" s="17"/>
      <c r="T73" s="16"/>
      <c r="U73" s="16"/>
      <c r="V73" s="15"/>
      <c r="W73" s="17"/>
      <c r="X73" s="16"/>
      <c r="Y73" s="15"/>
      <c r="Z73" s="15"/>
      <c r="AA73" s="17"/>
      <c r="AB73" s="15"/>
    </row>
    <row r="74" spans="1:28" s="18" customFormat="1" x14ac:dyDescent="0.3">
      <c r="A74" s="88"/>
      <c r="B74" s="93"/>
      <c r="C74" s="93"/>
      <c r="D74" s="14"/>
      <c r="E74" s="14"/>
      <c r="F74" s="14"/>
      <c r="G74" s="14"/>
      <c r="H74" s="14"/>
      <c r="I74" s="16"/>
      <c r="J74" s="15"/>
      <c r="K74" s="15"/>
      <c r="L74" s="17"/>
      <c r="M74" s="19"/>
      <c r="N74" s="14"/>
      <c r="O74" s="14"/>
      <c r="P74" s="20"/>
      <c r="Q74" s="19"/>
      <c r="R74" s="15"/>
      <c r="S74" s="17"/>
      <c r="T74" s="16"/>
      <c r="U74" s="16"/>
      <c r="V74" s="15"/>
      <c r="W74" s="17"/>
      <c r="X74" s="16"/>
      <c r="Y74" s="15"/>
      <c r="Z74" s="15"/>
      <c r="AA74" s="17"/>
      <c r="AB74" s="15"/>
    </row>
    <row r="75" spans="1:28" s="18" customFormat="1" x14ac:dyDescent="0.3">
      <c r="A75" s="88"/>
      <c r="B75" s="93"/>
      <c r="C75" s="93"/>
      <c r="D75" s="15"/>
      <c r="E75" s="15"/>
      <c r="F75" s="15"/>
      <c r="G75" s="15"/>
      <c r="H75" s="15"/>
      <c r="I75" s="16"/>
      <c r="J75" s="15"/>
      <c r="K75" s="15"/>
      <c r="L75" s="17"/>
      <c r="M75" s="16"/>
      <c r="N75" s="15"/>
      <c r="O75" s="15"/>
      <c r="P75" s="17"/>
      <c r="Q75" s="16"/>
      <c r="R75" s="15"/>
      <c r="S75" s="17"/>
      <c r="T75" s="16"/>
      <c r="U75" s="16"/>
      <c r="V75" s="15"/>
      <c r="W75" s="17"/>
      <c r="X75" s="16"/>
      <c r="Y75" s="15"/>
      <c r="Z75" s="15"/>
      <c r="AA75" s="17"/>
      <c r="AB75" s="15"/>
    </row>
    <row r="76" spans="1:28" s="18" customFormat="1" x14ac:dyDescent="0.3">
      <c r="A76" s="88"/>
      <c r="B76" s="93"/>
      <c r="C76" s="93"/>
      <c r="D76" s="15"/>
      <c r="E76" s="15"/>
      <c r="F76" s="15"/>
      <c r="G76" s="15"/>
      <c r="H76" s="15"/>
      <c r="I76" s="16"/>
      <c r="J76" s="15"/>
      <c r="K76" s="15"/>
      <c r="L76" s="17"/>
      <c r="M76" s="19"/>
      <c r="N76" s="14"/>
      <c r="O76" s="14"/>
      <c r="P76" s="20"/>
      <c r="Q76" s="19"/>
      <c r="R76" s="15"/>
      <c r="S76" s="17"/>
      <c r="T76" s="16"/>
      <c r="U76" s="16"/>
      <c r="V76" s="15"/>
      <c r="W76" s="17"/>
      <c r="X76" s="16"/>
      <c r="Y76" s="15"/>
      <c r="Z76" s="15"/>
      <c r="AA76" s="17"/>
      <c r="AB76" s="15"/>
    </row>
    <row r="77" spans="1:28" s="18" customFormat="1" x14ac:dyDescent="0.3">
      <c r="A77" s="88"/>
      <c r="B77" s="93"/>
      <c r="C77" s="93"/>
      <c r="D77" s="14"/>
      <c r="E77" s="14"/>
      <c r="F77" s="14"/>
      <c r="G77" s="14"/>
      <c r="H77" s="14"/>
      <c r="I77" s="16"/>
      <c r="J77" s="15"/>
      <c r="K77" s="15"/>
      <c r="L77" s="17"/>
      <c r="M77" s="16"/>
      <c r="N77" s="15"/>
      <c r="O77" s="15"/>
      <c r="P77" s="17"/>
      <c r="Q77" s="16"/>
      <c r="R77" s="15"/>
      <c r="S77" s="17"/>
      <c r="T77" s="16"/>
      <c r="U77" s="16"/>
      <c r="V77" s="15"/>
      <c r="W77" s="17"/>
      <c r="X77" s="16"/>
      <c r="Y77" s="15"/>
      <c r="Z77" s="15"/>
      <c r="AA77" s="17"/>
      <c r="AB77" s="15"/>
    </row>
    <row r="78" spans="1:28" s="18" customFormat="1" x14ac:dyDescent="0.3">
      <c r="A78" s="88"/>
      <c r="B78" s="93"/>
      <c r="C78" s="93"/>
      <c r="D78" s="15"/>
      <c r="E78" s="15"/>
      <c r="F78" s="15"/>
      <c r="G78" s="15"/>
      <c r="H78" s="15"/>
      <c r="I78" s="16"/>
      <c r="J78" s="15"/>
      <c r="K78" s="15"/>
      <c r="L78" s="17"/>
      <c r="M78" s="19"/>
      <c r="N78" s="14"/>
      <c r="O78" s="14"/>
      <c r="P78" s="20"/>
      <c r="Q78" s="19"/>
      <c r="R78" s="15"/>
      <c r="S78" s="17"/>
      <c r="T78" s="16"/>
      <c r="U78" s="16"/>
      <c r="V78" s="15"/>
      <c r="W78" s="17"/>
      <c r="X78" s="16"/>
      <c r="Y78" s="15"/>
      <c r="Z78" s="15"/>
      <c r="AA78" s="17"/>
      <c r="AB78" s="15"/>
    </row>
    <row r="79" spans="1:28" s="18" customFormat="1" x14ac:dyDescent="0.3">
      <c r="A79" s="88"/>
      <c r="B79" s="93"/>
      <c r="C79" s="93"/>
      <c r="D79" s="15"/>
      <c r="E79" s="15"/>
      <c r="F79" s="15"/>
      <c r="G79" s="15"/>
      <c r="H79" s="15"/>
      <c r="I79" s="16"/>
      <c r="J79" s="15"/>
      <c r="K79" s="15"/>
      <c r="L79" s="17"/>
      <c r="M79" s="16"/>
      <c r="N79" s="15"/>
      <c r="O79" s="15"/>
      <c r="P79" s="17"/>
      <c r="Q79" s="16"/>
      <c r="R79" s="15"/>
      <c r="S79" s="17"/>
      <c r="T79" s="16"/>
      <c r="U79" s="16"/>
      <c r="V79" s="15"/>
      <c r="W79" s="17"/>
      <c r="X79" s="16"/>
      <c r="Y79" s="15"/>
      <c r="Z79" s="15"/>
      <c r="AA79" s="17"/>
      <c r="AB79" s="15"/>
    </row>
    <row r="80" spans="1:28" s="18" customFormat="1" x14ac:dyDescent="0.3">
      <c r="A80" s="88"/>
      <c r="B80" s="93"/>
      <c r="C80" s="93"/>
      <c r="D80" s="14"/>
      <c r="E80" s="14"/>
      <c r="F80" s="14"/>
      <c r="G80" s="14"/>
      <c r="H80" s="14"/>
      <c r="I80" s="16"/>
      <c r="J80" s="15"/>
      <c r="K80" s="15"/>
      <c r="L80" s="17"/>
      <c r="M80" s="19"/>
      <c r="N80" s="14"/>
      <c r="O80" s="14"/>
      <c r="P80" s="20"/>
      <c r="Q80" s="19"/>
      <c r="R80" s="15"/>
      <c r="S80" s="17"/>
      <c r="T80" s="16"/>
      <c r="U80" s="16"/>
      <c r="V80" s="15"/>
      <c r="W80" s="17"/>
      <c r="X80" s="16"/>
      <c r="Y80" s="15"/>
      <c r="Z80" s="15"/>
      <c r="AA80" s="17"/>
      <c r="AB80" s="15"/>
    </row>
    <row r="81" spans="1:28" s="18" customFormat="1" x14ac:dyDescent="0.3">
      <c r="A81" s="88"/>
      <c r="B81" s="93"/>
      <c r="C81" s="93"/>
      <c r="D81" s="15"/>
      <c r="E81" s="15"/>
      <c r="F81" s="15"/>
      <c r="G81" s="15"/>
      <c r="H81" s="15"/>
      <c r="I81" s="16"/>
      <c r="J81" s="15"/>
      <c r="K81" s="15"/>
      <c r="L81" s="17"/>
      <c r="M81" s="16"/>
      <c r="N81" s="15"/>
      <c r="O81" s="15"/>
      <c r="P81" s="17"/>
      <c r="Q81" s="16"/>
      <c r="R81" s="15"/>
      <c r="S81" s="17"/>
      <c r="T81" s="16"/>
      <c r="U81" s="16"/>
      <c r="V81" s="15"/>
      <c r="W81" s="17"/>
      <c r="X81" s="16"/>
      <c r="Y81" s="15"/>
      <c r="Z81" s="15"/>
      <c r="AA81" s="17"/>
      <c r="AB81" s="15"/>
    </row>
    <row r="82" spans="1:28" s="18" customFormat="1" x14ac:dyDescent="0.3">
      <c r="A82" s="88"/>
      <c r="B82" s="93"/>
      <c r="C82" s="93"/>
      <c r="D82" s="15"/>
      <c r="E82" s="15"/>
      <c r="F82" s="15"/>
      <c r="G82" s="15"/>
      <c r="H82" s="15"/>
      <c r="I82" s="16"/>
      <c r="J82" s="15"/>
      <c r="K82" s="15"/>
      <c r="L82" s="17"/>
      <c r="M82" s="19"/>
      <c r="N82" s="14"/>
      <c r="O82" s="14"/>
      <c r="P82" s="20"/>
      <c r="Q82" s="19"/>
      <c r="R82" s="15"/>
      <c r="S82" s="17"/>
      <c r="T82" s="16"/>
      <c r="U82" s="16"/>
      <c r="V82" s="15"/>
      <c r="W82" s="17"/>
      <c r="X82" s="16"/>
      <c r="Y82" s="15"/>
      <c r="Z82" s="15"/>
      <c r="AA82" s="17"/>
      <c r="AB82" s="15"/>
    </row>
    <row r="83" spans="1:28" s="18" customFormat="1" x14ac:dyDescent="0.3">
      <c r="A83" s="88"/>
      <c r="B83" s="93"/>
      <c r="C83" s="93"/>
      <c r="D83" s="14"/>
      <c r="E83" s="14"/>
      <c r="F83" s="14"/>
      <c r="G83" s="14"/>
      <c r="H83" s="14"/>
      <c r="I83" s="16"/>
      <c r="J83" s="15"/>
      <c r="K83" s="15"/>
      <c r="L83" s="17"/>
      <c r="M83" s="16"/>
      <c r="N83" s="15"/>
      <c r="O83" s="15"/>
      <c r="P83" s="17"/>
      <c r="Q83" s="16"/>
      <c r="R83" s="15"/>
      <c r="S83" s="17"/>
      <c r="T83" s="16"/>
      <c r="U83" s="16"/>
      <c r="V83" s="15"/>
      <c r="W83" s="17"/>
      <c r="X83" s="16"/>
      <c r="Y83" s="15"/>
      <c r="Z83" s="15"/>
      <c r="AA83" s="17"/>
      <c r="AB83" s="15"/>
    </row>
    <row r="84" spans="1:28" s="18" customFormat="1" x14ac:dyDescent="0.3">
      <c r="A84" s="88"/>
      <c r="B84" s="93"/>
      <c r="C84" s="93"/>
      <c r="D84" s="15"/>
      <c r="E84" s="15"/>
      <c r="F84" s="15"/>
      <c r="G84" s="15"/>
      <c r="H84" s="15"/>
      <c r="I84" s="16"/>
      <c r="J84" s="15"/>
      <c r="K84" s="15"/>
      <c r="L84" s="17"/>
      <c r="M84" s="19"/>
      <c r="N84" s="14"/>
      <c r="O84" s="14"/>
      <c r="P84" s="20"/>
      <c r="Q84" s="19"/>
      <c r="R84" s="15"/>
      <c r="S84" s="17"/>
      <c r="T84" s="16"/>
      <c r="U84" s="16"/>
      <c r="V84" s="15"/>
      <c r="W84" s="17"/>
      <c r="X84" s="16"/>
      <c r="Y84" s="15"/>
      <c r="Z84" s="15"/>
      <c r="AA84" s="17"/>
      <c r="AB84" s="15"/>
    </row>
    <row r="85" spans="1:28" s="18" customFormat="1" x14ac:dyDescent="0.3">
      <c r="A85" s="88"/>
      <c r="B85" s="93"/>
      <c r="C85" s="93"/>
      <c r="D85" s="15"/>
      <c r="E85" s="15"/>
      <c r="F85" s="15"/>
      <c r="G85" s="15"/>
      <c r="H85" s="15"/>
      <c r="I85" s="16"/>
      <c r="J85" s="15"/>
      <c r="K85" s="15"/>
      <c r="L85" s="17"/>
      <c r="M85" s="16"/>
      <c r="N85" s="15"/>
      <c r="O85" s="15"/>
      <c r="P85" s="17"/>
      <c r="Q85" s="16"/>
      <c r="R85" s="15"/>
      <c r="S85" s="17"/>
      <c r="T85" s="16"/>
      <c r="U85" s="16"/>
      <c r="V85" s="15"/>
      <c r="W85" s="17"/>
      <c r="X85" s="16"/>
      <c r="Y85" s="15"/>
      <c r="Z85" s="15"/>
      <c r="AA85" s="17"/>
      <c r="AB85" s="15"/>
    </row>
    <row r="86" spans="1:28" s="18" customFormat="1" x14ac:dyDescent="0.3">
      <c r="A86" s="88"/>
      <c r="B86" s="93"/>
      <c r="C86" s="93"/>
      <c r="D86" s="14"/>
      <c r="E86" s="14"/>
      <c r="F86" s="14"/>
      <c r="G86" s="14"/>
      <c r="H86" s="14"/>
      <c r="I86" s="16"/>
      <c r="J86" s="15"/>
      <c r="K86" s="15"/>
      <c r="L86" s="17"/>
      <c r="M86" s="19"/>
      <c r="N86" s="14"/>
      <c r="O86" s="14"/>
      <c r="P86" s="20"/>
      <c r="Q86" s="19"/>
      <c r="R86" s="15"/>
      <c r="S86" s="17"/>
      <c r="T86" s="16"/>
      <c r="U86" s="16"/>
      <c r="V86" s="15"/>
      <c r="W86" s="17"/>
      <c r="X86" s="16"/>
      <c r="Y86" s="15"/>
      <c r="Z86" s="15"/>
      <c r="AA86" s="17"/>
      <c r="AB86" s="15"/>
    </row>
    <row r="87" spans="1:28" s="18" customFormat="1" x14ac:dyDescent="0.3">
      <c r="A87" s="88"/>
      <c r="B87" s="93"/>
      <c r="C87" s="93"/>
      <c r="D87" s="15"/>
      <c r="E87" s="15"/>
      <c r="F87" s="15"/>
      <c r="G87" s="15"/>
      <c r="H87" s="15"/>
      <c r="I87" s="16"/>
      <c r="J87" s="15"/>
      <c r="K87" s="15"/>
      <c r="L87" s="17"/>
      <c r="M87" s="16"/>
      <c r="N87" s="15"/>
      <c r="O87" s="15"/>
      <c r="P87" s="17"/>
      <c r="Q87" s="16"/>
      <c r="R87" s="15"/>
      <c r="S87" s="17"/>
      <c r="T87" s="16"/>
      <c r="U87" s="16"/>
      <c r="V87" s="15"/>
      <c r="W87" s="17"/>
      <c r="X87" s="16"/>
      <c r="Y87" s="15"/>
      <c r="Z87" s="15"/>
      <c r="AA87" s="17"/>
      <c r="AB87" s="15"/>
    </row>
    <row r="88" spans="1:28" s="18" customFormat="1" x14ac:dyDescent="0.3">
      <c r="A88" s="88"/>
      <c r="B88" s="93"/>
      <c r="C88" s="93"/>
      <c r="D88" s="15"/>
      <c r="E88" s="15"/>
      <c r="F88" s="15"/>
      <c r="G88" s="15"/>
      <c r="H88" s="15"/>
      <c r="I88" s="16"/>
      <c r="J88" s="15"/>
      <c r="K88" s="15"/>
      <c r="L88" s="17"/>
      <c r="M88" s="19"/>
      <c r="N88" s="14"/>
      <c r="O88" s="14"/>
      <c r="P88" s="20"/>
      <c r="Q88" s="19"/>
      <c r="R88" s="15"/>
      <c r="S88" s="17"/>
      <c r="T88" s="16"/>
      <c r="U88" s="16"/>
      <c r="V88" s="15"/>
      <c r="W88" s="17"/>
      <c r="X88" s="16"/>
      <c r="Y88" s="15"/>
      <c r="Z88" s="15"/>
      <c r="AA88" s="17"/>
      <c r="AB88" s="15"/>
    </row>
    <row r="89" spans="1:28" s="18" customFormat="1" x14ac:dyDescent="0.3">
      <c r="A89" s="88"/>
      <c r="B89" s="93"/>
      <c r="C89" s="93"/>
      <c r="D89" s="14"/>
      <c r="E89" s="14"/>
      <c r="F89" s="14"/>
      <c r="G89" s="14"/>
      <c r="H89" s="14"/>
      <c r="I89" s="16"/>
      <c r="J89" s="15"/>
      <c r="K89" s="15"/>
      <c r="L89" s="17"/>
      <c r="M89" s="16"/>
      <c r="N89" s="15"/>
      <c r="O89" s="15"/>
      <c r="P89" s="17"/>
      <c r="Q89" s="16"/>
      <c r="R89" s="15"/>
      <c r="S89" s="17"/>
      <c r="T89" s="16"/>
      <c r="U89" s="16"/>
      <c r="V89" s="15"/>
      <c r="W89" s="17"/>
      <c r="X89" s="16"/>
      <c r="Y89" s="15"/>
      <c r="Z89" s="15"/>
      <c r="AA89" s="17"/>
      <c r="AB89" s="15"/>
    </row>
    <row r="90" spans="1:28" s="18" customFormat="1" x14ac:dyDescent="0.3">
      <c r="A90" s="88"/>
      <c r="B90" s="93"/>
      <c r="C90" s="93"/>
      <c r="D90" s="15"/>
      <c r="E90" s="15"/>
      <c r="F90" s="15"/>
      <c r="G90" s="15"/>
      <c r="H90" s="15"/>
      <c r="I90" s="16"/>
      <c r="J90" s="15"/>
      <c r="K90" s="15"/>
      <c r="L90" s="17"/>
      <c r="M90" s="19"/>
      <c r="N90" s="14"/>
      <c r="O90" s="14"/>
      <c r="P90" s="20"/>
      <c r="Q90" s="19"/>
      <c r="R90" s="15"/>
      <c r="S90" s="17"/>
      <c r="T90" s="16"/>
      <c r="U90" s="16"/>
      <c r="V90" s="15"/>
      <c r="W90" s="17"/>
      <c r="X90" s="16"/>
      <c r="Y90" s="15"/>
      <c r="Z90" s="15"/>
      <c r="AA90" s="17"/>
      <c r="AB90" s="15"/>
    </row>
    <row r="91" spans="1:28" s="18" customFormat="1" x14ac:dyDescent="0.3">
      <c r="A91" s="88"/>
      <c r="B91" s="93"/>
      <c r="C91" s="93"/>
      <c r="D91" s="15"/>
      <c r="E91" s="15"/>
      <c r="F91" s="15"/>
      <c r="G91" s="15"/>
      <c r="H91" s="15"/>
      <c r="I91" s="23"/>
      <c r="J91" s="21"/>
      <c r="K91" s="21"/>
      <c r="L91" s="22"/>
      <c r="M91" s="16"/>
      <c r="N91" s="15"/>
      <c r="O91" s="15"/>
      <c r="P91" s="17"/>
      <c r="Q91" s="16"/>
      <c r="R91" s="31"/>
      <c r="S91" s="32"/>
      <c r="T91" s="33"/>
      <c r="U91" s="33"/>
      <c r="V91" s="31"/>
      <c r="W91" s="32"/>
      <c r="X91" s="23"/>
      <c r="Y91" s="21"/>
      <c r="Z91" s="21"/>
      <c r="AA91" s="22"/>
    </row>
    <row r="92" spans="1:28" s="18" customFormat="1" x14ac:dyDescent="0.3">
      <c r="A92" s="88"/>
      <c r="B92" s="93"/>
      <c r="C92" s="93"/>
      <c r="D92" s="14"/>
      <c r="E92" s="14"/>
      <c r="F92" s="14"/>
      <c r="G92" s="14"/>
      <c r="H92" s="14"/>
      <c r="I92" s="23"/>
      <c r="J92" s="21"/>
      <c r="K92" s="21"/>
      <c r="L92" s="22"/>
      <c r="M92" s="19"/>
      <c r="N92" s="14"/>
      <c r="O92" s="14"/>
      <c r="P92" s="20"/>
      <c r="Q92" s="19"/>
      <c r="R92" s="31"/>
      <c r="S92" s="32"/>
      <c r="T92" s="33"/>
      <c r="U92" s="33"/>
      <c r="V92" s="31"/>
      <c r="W92" s="32"/>
      <c r="X92" s="23"/>
      <c r="Y92" s="21"/>
      <c r="Z92" s="21"/>
      <c r="AA92" s="22"/>
    </row>
    <row r="93" spans="1:28" s="18" customFormat="1" x14ac:dyDescent="0.3">
      <c r="A93" s="88"/>
      <c r="B93" s="93"/>
      <c r="C93" s="93"/>
      <c r="D93" s="15"/>
      <c r="E93" s="15"/>
      <c r="F93" s="15"/>
      <c r="G93" s="15"/>
      <c r="H93" s="15"/>
      <c r="I93" s="23"/>
      <c r="J93" s="21"/>
      <c r="K93" s="21"/>
      <c r="L93" s="22"/>
      <c r="M93" s="16"/>
      <c r="N93" s="15"/>
      <c r="O93" s="15"/>
      <c r="P93" s="17"/>
      <c r="Q93" s="16"/>
      <c r="R93" s="31"/>
      <c r="S93" s="32"/>
      <c r="T93" s="33"/>
      <c r="U93" s="33"/>
      <c r="V93" s="31"/>
      <c r="W93" s="32"/>
      <c r="X93" s="23"/>
      <c r="Y93" s="21"/>
      <c r="Z93" s="21"/>
      <c r="AA93" s="22"/>
    </row>
    <row r="94" spans="1:28" s="18" customFormat="1" x14ac:dyDescent="0.3">
      <c r="A94" s="88"/>
      <c r="B94" s="93"/>
      <c r="C94" s="93"/>
      <c r="D94" s="15"/>
      <c r="E94" s="15"/>
      <c r="F94" s="15"/>
      <c r="G94" s="15"/>
      <c r="H94" s="15"/>
      <c r="I94" s="23"/>
      <c r="J94" s="21"/>
      <c r="K94" s="21"/>
      <c r="L94" s="22"/>
      <c r="M94" s="19"/>
      <c r="N94" s="14"/>
      <c r="O94" s="14"/>
      <c r="P94" s="20"/>
      <c r="Q94" s="19"/>
      <c r="R94" s="31"/>
      <c r="S94" s="32"/>
      <c r="T94" s="33"/>
      <c r="U94" s="33"/>
      <c r="V94" s="31"/>
      <c r="W94" s="32"/>
      <c r="X94" s="23"/>
      <c r="Y94" s="21"/>
      <c r="Z94" s="21"/>
      <c r="AA94" s="22"/>
    </row>
    <row r="95" spans="1:28" s="18" customFormat="1" x14ac:dyDescent="0.3">
      <c r="A95" s="88"/>
      <c r="B95" s="93"/>
      <c r="C95" s="93"/>
      <c r="D95" s="14"/>
      <c r="E95" s="14"/>
      <c r="F95" s="14"/>
      <c r="G95" s="14"/>
      <c r="H95" s="14"/>
      <c r="I95" s="23"/>
      <c r="J95" s="21"/>
      <c r="K95" s="21"/>
      <c r="L95" s="22"/>
      <c r="M95" s="16"/>
      <c r="N95" s="15"/>
      <c r="O95" s="15"/>
      <c r="P95" s="17"/>
      <c r="Q95" s="16"/>
      <c r="R95" s="31"/>
      <c r="S95" s="32"/>
      <c r="T95" s="33"/>
      <c r="U95" s="33"/>
      <c r="V95" s="31"/>
      <c r="W95" s="32"/>
      <c r="X95" s="23"/>
      <c r="Y95" s="21"/>
      <c r="Z95" s="21"/>
      <c r="AA95" s="22"/>
    </row>
    <row r="96" spans="1:28" s="18" customFormat="1" x14ac:dyDescent="0.3">
      <c r="A96" s="88"/>
      <c r="B96" s="93"/>
      <c r="C96" s="93"/>
      <c r="D96" s="15"/>
      <c r="E96" s="15"/>
      <c r="F96" s="15"/>
      <c r="G96" s="15"/>
      <c r="H96" s="15"/>
      <c r="I96" s="23"/>
      <c r="J96" s="21"/>
      <c r="K96" s="21"/>
      <c r="L96" s="22"/>
      <c r="M96" s="19"/>
      <c r="N96" s="14"/>
      <c r="O96" s="14"/>
      <c r="P96" s="20"/>
      <c r="Q96" s="19"/>
      <c r="R96" s="31"/>
      <c r="S96" s="32"/>
      <c r="T96" s="33"/>
      <c r="U96" s="33"/>
      <c r="V96" s="31"/>
      <c r="W96" s="32"/>
      <c r="X96" s="23"/>
      <c r="Y96" s="21"/>
      <c r="Z96" s="21"/>
      <c r="AA96" s="22"/>
    </row>
    <row r="97" spans="1:27" s="18" customFormat="1" x14ac:dyDescent="0.3">
      <c r="A97" s="88"/>
      <c r="B97" s="93"/>
      <c r="C97" s="93"/>
      <c r="D97" s="15"/>
      <c r="E97" s="15"/>
      <c r="F97" s="15"/>
      <c r="G97" s="15"/>
      <c r="H97" s="15"/>
      <c r="I97" s="23"/>
      <c r="J97" s="21"/>
      <c r="K97" s="21"/>
      <c r="L97" s="22"/>
      <c r="M97" s="16"/>
      <c r="N97" s="15"/>
      <c r="O97" s="15"/>
      <c r="P97" s="17"/>
      <c r="Q97" s="16"/>
      <c r="R97" s="31"/>
      <c r="S97" s="32"/>
      <c r="T97" s="33"/>
      <c r="U97" s="33"/>
      <c r="V97" s="31"/>
      <c r="W97" s="32"/>
      <c r="X97" s="23"/>
      <c r="Y97" s="21"/>
      <c r="Z97" s="21"/>
      <c r="AA97" s="22"/>
    </row>
    <row r="98" spans="1:27" s="18" customFormat="1" x14ac:dyDescent="0.3">
      <c r="A98" s="88"/>
      <c r="B98" s="93"/>
      <c r="C98" s="93"/>
      <c r="D98" s="14"/>
      <c r="E98" s="14"/>
      <c r="F98" s="14"/>
      <c r="G98" s="14"/>
      <c r="H98" s="14"/>
      <c r="I98" s="23"/>
      <c r="J98" s="21"/>
      <c r="K98" s="21"/>
      <c r="L98" s="22"/>
      <c r="M98" s="19"/>
      <c r="N98" s="14"/>
      <c r="O98" s="14"/>
      <c r="P98" s="20"/>
      <c r="Q98" s="19"/>
      <c r="R98" s="31"/>
      <c r="S98" s="32"/>
      <c r="T98" s="33"/>
      <c r="U98" s="33"/>
      <c r="V98" s="31"/>
      <c r="W98" s="32"/>
      <c r="X98" s="23"/>
      <c r="Y98" s="21"/>
      <c r="Z98" s="21"/>
      <c r="AA98" s="22"/>
    </row>
    <row r="99" spans="1:27" s="18" customFormat="1" x14ac:dyDescent="0.3">
      <c r="A99" s="88"/>
      <c r="B99" s="93"/>
      <c r="C99" s="93"/>
      <c r="D99" s="15"/>
      <c r="E99" s="15"/>
      <c r="F99" s="15"/>
      <c r="G99" s="15"/>
      <c r="H99" s="15"/>
      <c r="I99" s="23"/>
      <c r="J99" s="21"/>
      <c r="K99" s="21"/>
      <c r="L99" s="22"/>
      <c r="M99" s="16"/>
      <c r="N99" s="15"/>
      <c r="O99" s="15"/>
      <c r="P99" s="17"/>
      <c r="Q99" s="16"/>
      <c r="R99" s="31"/>
      <c r="S99" s="32"/>
      <c r="T99" s="33"/>
      <c r="U99" s="33"/>
      <c r="V99" s="31"/>
      <c r="W99" s="32"/>
      <c r="X99" s="23"/>
      <c r="Y99" s="21"/>
      <c r="Z99" s="21"/>
      <c r="AA99" s="22"/>
    </row>
    <row r="100" spans="1:27" s="18" customFormat="1" x14ac:dyDescent="0.3">
      <c r="A100" s="88"/>
      <c r="B100" s="93"/>
      <c r="C100" s="93"/>
      <c r="D100" s="15"/>
      <c r="E100" s="15"/>
      <c r="F100" s="15"/>
      <c r="G100" s="15"/>
      <c r="H100" s="15"/>
      <c r="I100" s="23"/>
      <c r="J100" s="21"/>
      <c r="K100" s="21"/>
      <c r="L100" s="22"/>
      <c r="M100" s="19"/>
      <c r="N100" s="14"/>
      <c r="O100" s="14"/>
      <c r="P100" s="20"/>
      <c r="Q100" s="19"/>
      <c r="R100" s="31"/>
      <c r="S100" s="32"/>
      <c r="T100" s="33"/>
      <c r="U100" s="33"/>
      <c r="V100" s="31"/>
      <c r="W100" s="32"/>
      <c r="X100" s="23"/>
      <c r="Y100" s="21"/>
      <c r="Z100" s="21"/>
      <c r="AA100" s="22"/>
    </row>
    <row r="101" spans="1:27" s="18" customFormat="1" x14ac:dyDescent="0.3">
      <c r="A101" s="88"/>
      <c r="B101" s="93"/>
      <c r="C101" s="93"/>
      <c r="D101" s="14"/>
      <c r="E101" s="14"/>
      <c r="F101" s="14"/>
      <c r="G101" s="14"/>
      <c r="H101" s="14"/>
      <c r="I101" s="23"/>
      <c r="J101" s="21"/>
      <c r="K101" s="21"/>
      <c r="L101" s="22"/>
      <c r="M101" s="16"/>
      <c r="N101" s="15"/>
      <c r="O101" s="15"/>
      <c r="P101" s="17"/>
      <c r="Q101" s="16"/>
      <c r="R101" s="31"/>
      <c r="S101" s="32"/>
      <c r="T101" s="33"/>
      <c r="U101" s="33"/>
      <c r="V101" s="31"/>
      <c r="W101" s="32"/>
      <c r="X101" s="23"/>
      <c r="Y101" s="21"/>
      <c r="Z101" s="21"/>
      <c r="AA101" s="22"/>
    </row>
    <row r="102" spans="1:27" s="18" customFormat="1" x14ac:dyDescent="0.3">
      <c r="A102" s="88"/>
      <c r="B102" s="93"/>
      <c r="C102" s="93"/>
      <c r="D102" s="15"/>
      <c r="E102" s="15"/>
      <c r="F102" s="15"/>
      <c r="G102" s="15"/>
      <c r="H102" s="15"/>
      <c r="I102" s="23"/>
      <c r="J102" s="21"/>
      <c r="K102" s="21"/>
      <c r="L102" s="22"/>
      <c r="M102" s="19"/>
      <c r="N102" s="14"/>
      <c r="O102" s="14"/>
      <c r="P102" s="20"/>
      <c r="Q102" s="19"/>
      <c r="R102" s="31"/>
      <c r="S102" s="32"/>
      <c r="T102" s="33"/>
      <c r="U102" s="33"/>
      <c r="V102" s="31"/>
      <c r="W102" s="32"/>
      <c r="X102" s="23"/>
      <c r="Y102" s="21"/>
      <c r="Z102" s="21"/>
      <c r="AA102" s="22"/>
    </row>
    <row r="103" spans="1:27" s="18" customFormat="1" x14ac:dyDescent="0.3">
      <c r="A103" s="88"/>
      <c r="B103" s="93"/>
      <c r="C103" s="93"/>
      <c r="D103" s="15"/>
      <c r="E103" s="15"/>
      <c r="F103" s="15"/>
      <c r="G103" s="15"/>
      <c r="H103" s="15"/>
      <c r="I103" s="23"/>
      <c r="J103" s="21"/>
      <c r="K103" s="21"/>
      <c r="L103" s="22"/>
      <c r="M103" s="16"/>
      <c r="N103" s="15"/>
      <c r="O103" s="15"/>
      <c r="P103" s="17"/>
      <c r="Q103" s="16"/>
      <c r="R103" s="31"/>
      <c r="S103" s="32"/>
      <c r="T103" s="33"/>
      <c r="U103" s="33"/>
      <c r="V103" s="31"/>
      <c r="W103" s="32"/>
      <c r="X103" s="23"/>
      <c r="Y103" s="21"/>
      <c r="Z103" s="21"/>
      <c r="AA103" s="22"/>
    </row>
    <row r="104" spans="1:27" s="18" customFormat="1" x14ac:dyDescent="0.3">
      <c r="A104" s="88"/>
      <c r="B104" s="93"/>
      <c r="C104" s="93"/>
      <c r="D104" s="14"/>
      <c r="E104" s="14"/>
      <c r="F104" s="14"/>
      <c r="G104" s="14"/>
      <c r="H104" s="14"/>
      <c r="I104" s="23"/>
      <c r="J104" s="21"/>
      <c r="K104" s="21"/>
      <c r="L104" s="22"/>
      <c r="M104" s="19"/>
      <c r="N104" s="14"/>
      <c r="O104" s="14"/>
      <c r="P104" s="20"/>
      <c r="Q104" s="19"/>
      <c r="R104" s="31"/>
      <c r="S104" s="32"/>
      <c r="T104" s="33"/>
      <c r="U104" s="33"/>
      <c r="V104" s="31"/>
      <c r="W104" s="32"/>
      <c r="X104" s="23"/>
      <c r="Y104" s="21"/>
      <c r="Z104" s="21"/>
      <c r="AA104" s="22"/>
    </row>
    <row r="105" spans="1:27" s="18" customFormat="1" x14ac:dyDescent="0.3">
      <c r="A105" s="88"/>
      <c r="B105" s="93"/>
      <c r="C105" s="93"/>
      <c r="D105" s="15"/>
      <c r="E105" s="15"/>
      <c r="F105" s="15"/>
      <c r="G105" s="15"/>
      <c r="H105" s="15"/>
      <c r="I105" s="23"/>
      <c r="J105" s="21"/>
      <c r="K105" s="21"/>
      <c r="L105" s="22"/>
      <c r="M105" s="16"/>
      <c r="N105" s="15"/>
      <c r="O105" s="15"/>
      <c r="P105" s="17"/>
      <c r="Q105" s="16"/>
      <c r="R105" s="31"/>
      <c r="S105" s="32"/>
      <c r="T105" s="33"/>
      <c r="U105" s="33"/>
      <c r="V105" s="31"/>
      <c r="W105" s="32"/>
      <c r="X105" s="23"/>
      <c r="Y105" s="21"/>
      <c r="Z105" s="21"/>
      <c r="AA105" s="22"/>
    </row>
    <row r="106" spans="1:27" s="18" customFormat="1" x14ac:dyDescent="0.3">
      <c r="A106" s="88"/>
      <c r="B106" s="93"/>
      <c r="C106" s="93"/>
      <c r="D106" s="15"/>
      <c r="E106" s="15"/>
      <c r="F106" s="15"/>
      <c r="G106" s="15"/>
      <c r="H106" s="15"/>
      <c r="I106" s="23"/>
      <c r="J106" s="21"/>
      <c r="K106" s="21"/>
      <c r="L106" s="22"/>
      <c r="M106" s="19"/>
      <c r="N106" s="14"/>
      <c r="O106" s="14"/>
      <c r="P106" s="20"/>
      <c r="Q106" s="19"/>
      <c r="R106" s="31"/>
      <c r="S106" s="32"/>
      <c r="T106" s="33"/>
      <c r="U106" s="33"/>
      <c r="V106" s="31"/>
      <c r="W106" s="32"/>
      <c r="X106" s="23"/>
      <c r="Y106" s="21"/>
      <c r="Z106" s="21"/>
      <c r="AA106" s="22"/>
    </row>
    <row r="107" spans="1:27" s="18" customFormat="1" x14ac:dyDescent="0.3">
      <c r="A107" s="88"/>
      <c r="B107" s="93"/>
      <c r="C107" s="93"/>
      <c r="D107" s="14"/>
      <c r="E107" s="14"/>
      <c r="F107" s="14"/>
      <c r="G107" s="14"/>
      <c r="H107" s="14"/>
      <c r="I107" s="23"/>
      <c r="J107" s="21"/>
      <c r="K107" s="21"/>
      <c r="L107" s="22"/>
      <c r="M107" s="16"/>
      <c r="N107" s="15"/>
      <c r="O107" s="15"/>
      <c r="P107" s="17"/>
      <c r="Q107" s="16"/>
      <c r="R107" s="31"/>
      <c r="S107" s="32"/>
      <c r="T107" s="33"/>
      <c r="U107" s="33"/>
      <c r="V107" s="31"/>
      <c r="W107" s="32"/>
      <c r="X107" s="23"/>
      <c r="Y107" s="21"/>
      <c r="Z107" s="21"/>
      <c r="AA107" s="22"/>
    </row>
    <row r="108" spans="1:27" s="18" customFormat="1" x14ac:dyDescent="0.3">
      <c r="A108" s="88"/>
      <c r="B108" s="93"/>
      <c r="C108" s="93"/>
      <c r="D108" s="15"/>
      <c r="E108" s="15"/>
      <c r="F108" s="15"/>
      <c r="G108" s="15"/>
      <c r="H108" s="15"/>
      <c r="I108" s="23"/>
      <c r="J108" s="21"/>
      <c r="K108" s="21"/>
      <c r="L108" s="22"/>
      <c r="M108" s="19"/>
      <c r="N108" s="14"/>
      <c r="O108" s="14"/>
      <c r="P108" s="20"/>
      <c r="Q108" s="19"/>
      <c r="R108" s="31"/>
      <c r="S108" s="32"/>
      <c r="T108" s="33"/>
      <c r="U108" s="33"/>
      <c r="V108" s="31"/>
      <c r="W108" s="32"/>
      <c r="X108" s="23"/>
      <c r="Y108" s="21"/>
      <c r="Z108" s="21"/>
      <c r="AA108" s="22"/>
    </row>
    <row r="109" spans="1:27" s="18" customFormat="1" x14ac:dyDescent="0.3">
      <c r="A109" s="88"/>
      <c r="B109" s="93"/>
      <c r="C109" s="93"/>
      <c r="D109" s="15"/>
      <c r="E109" s="15"/>
      <c r="F109" s="15"/>
      <c r="G109" s="15"/>
      <c r="H109" s="15"/>
      <c r="I109" s="23"/>
      <c r="J109" s="21"/>
      <c r="K109" s="21"/>
      <c r="L109" s="22"/>
      <c r="M109" s="16"/>
      <c r="N109" s="15"/>
      <c r="O109" s="15"/>
      <c r="P109" s="17"/>
      <c r="Q109" s="16"/>
      <c r="R109" s="31"/>
      <c r="S109" s="32"/>
      <c r="T109" s="33"/>
      <c r="U109" s="33"/>
      <c r="V109" s="31"/>
      <c r="W109" s="32"/>
      <c r="X109" s="23"/>
      <c r="Y109" s="21"/>
      <c r="Z109" s="21"/>
      <c r="AA109" s="22"/>
    </row>
    <row r="110" spans="1:27" s="18" customFormat="1" x14ac:dyDescent="0.3">
      <c r="A110" s="88"/>
      <c r="B110" s="93"/>
      <c r="C110" s="93"/>
      <c r="D110" s="14"/>
      <c r="E110" s="14"/>
      <c r="F110" s="14"/>
      <c r="G110" s="14"/>
      <c r="H110" s="14"/>
      <c r="I110" s="23"/>
      <c r="J110" s="21"/>
      <c r="K110" s="21"/>
      <c r="L110" s="22"/>
      <c r="M110" s="19"/>
      <c r="N110" s="14"/>
      <c r="O110" s="14"/>
      <c r="P110" s="20"/>
      <c r="Q110" s="19"/>
      <c r="R110" s="31"/>
      <c r="S110" s="32"/>
      <c r="T110" s="33"/>
      <c r="U110" s="33"/>
      <c r="V110" s="31"/>
      <c r="W110" s="32"/>
      <c r="X110" s="23"/>
      <c r="Y110" s="21"/>
      <c r="Z110" s="21"/>
      <c r="AA110" s="22"/>
    </row>
    <row r="111" spans="1:27" s="18" customFormat="1" x14ac:dyDescent="0.3">
      <c r="A111" s="88"/>
      <c r="B111" s="93"/>
      <c r="C111" s="93"/>
      <c r="D111" s="15"/>
      <c r="E111" s="15"/>
      <c r="F111" s="15"/>
      <c r="G111" s="15"/>
      <c r="H111" s="15"/>
      <c r="I111" s="23"/>
      <c r="J111" s="21"/>
      <c r="K111" s="21"/>
      <c r="L111" s="22"/>
      <c r="M111" s="16"/>
      <c r="N111" s="15"/>
      <c r="O111" s="15"/>
      <c r="P111" s="17"/>
      <c r="Q111" s="16"/>
      <c r="R111" s="31"/>
      <c r="S111" s="32"/>
      <c r="T111" s="33"/>
      <c r="U111" s="33"/>
      <c r="V111" s="31"/>
      <c r="W111" s="32"/>
      <c r="X111" s="23"/>
      <c r="Y111" s="21"/>
      <c r="Z111" s="21"/>
      <c r="AA111" s="22"/>
    </row>
    <row r="112" spans="1:27" s="18" customFormat="1" x14ac:dyDescent="0.3">
      <c r="A112" s="88"/>
      <c r="B112" s="93"/>
      <c r="C112" s="93"/>
      <c r="D112" s="15"/>
      <c r="E112" s="15"/>
      <c r="F112" s="15"/>
      <c r="G112" s="15"/>
      <c r="H112" s="15"/>
      <c r="I112" s="23"/>
      <c r="J112" s="21"/>
      <c r="K112" s="21"/>
      <c r="L112" s="22"/>
      <c r="M112" s="19"/>
      <c r="N112" s="14"/>
      <c r="O112" s="14"/>
      <c r="P112" s="20"/>
      <c r="Q112" s="19"/>
      <c r="R112" s="31"/>
      <c r="S112" s="32"/>
      <c r="T112" s="33"/>
      <c r="U112" s="33"/>
      <c r="V112" s="31"/>
      <c r="W112" s="32"/>
      <c r="X112" s="23"/>
      <c r="Y112" s="21"/>
      <c r="Z112" s="21"/>
      <c r="AA112" s="22"/>
    </row>
    <row r="113" spans="1:27" s="18" customFormat="1" x14ac:dyDescent="0.3">
      <c r="A113" s="88"/>
      <c r="B113" s="93"/>
      <c r="C113" s="93"/>
      <c r="D113" s="14"/>
      <c r="E113" s="14"/>
      <c r="F113" s="14"/>
      <c r="G113" s="14"/>
      <c r="H113" s="14"/>
      <c r="I113" s="23"/>
      <c r="J113" s="21"/>
      <c r="K113" s="21"/>
      <c r="L113" s="22"/>
      <c r="M113" s="16"/>
      <c r="N113" s="15"/>
      <c r="O113" s="15"/>
      <c r="P113" s="17"/>
      <c r="Q113" s="16"/>
      <c r="R113" s="31"/>
      <c r="S113" s="32"/>
      <c r="T113" s="33"/>
      <c r="U113" s="33"/>
      <c r="V113" s="31"/>
      <c r="W113" s="32"/>
      <c r="X113" s="23"/>
      <c r="Y113" s="21"/>
      <c r="Z113" s="21"/>
      <c r="AA113" s="22"/>
    </row>
    <row r="114" spans="1:27" s="18" customFormat="1" x14ac:dyDescent="0.3">
      <c r="A114" s="88"/>
      <c r="B114" s="93"/>
      <c r="C114" s="93"/>
      <c r="D114" s="15"/>
      <c r="E114" s="15"/>
      <c r="F114" s="15"/>
      <c r="G114" s="15"/>
      <c r="H114" s="15"/>
      <c r="I114" s="23"/>
      <c r="J114" s="21"/>
      <c r="K114" s="21"/>
      <c r="L114" s="22"/>
      <c r="M114" s="19"/>
      <c r="N114" s="14"/>
      <c r="O114" s="14"/>
      <c r="P114" s="20"/>
      <c r="Q114" s="19"/>
      <c r="R114" s="31"/>
      <c r="S114" s="32"/>
      <c r="T114" s="33"/>
      <c r="U114" s="33"/>
      <c r="V114" s="31"/>
      <c r="W114" s="32"/>
      <c r="X114" s="23"/>
      <c r="Y114" s="21"/>
      <c r="Z114" s="21"/>
      <c r="AA114" s="22"/>
    </row>
    <row r="115" spans="1:27" s="18" customFormat="1" x14ac:dyDescent="0.3">
      <c r="A115" s="88"/>
      <c r="B115" s="93"/>
      <c r="C115" s="93"/>
      <c r="D115" s="15"/>
      <c r="E115" s="15"/>
      <c r="F115" s="15"/>
      <c r="G115" s="15"/>
      <c r="H115" s="15"/>
      <c r="I115" s="23"/>
      <c r="J115" s="21"/>
      <c r="K115" s="21"/>
      <c r="L115" s="22"/>
      <c r="M115" s="16"/>
      <c r="N115" s="15"/>
      <c r="O115" s="15"/>
      <c r="P115" s="17"/>
      <c r="Q115" s="16"/>
      <c r="R115" s="31"/>
      <c r="S115" s="32"/>
      <c r="T115" s="33"/>
      <c r="U115" s="33"/>
      <c r="V115" s="31"/>
      <c r="W115" s="32"/>
      <c r="X115" s="23"/>
      <c r="Y115" s="21"/>
      <c r="Z115" s="21"/>
      <c r="AA115" s="22"/>
    </row>
    <row r="116" spans="1:27" s="18" customFormat="1" x14ac:dyDescent="0.3">
      <c r="A116" s="88"/>
      <c r="B116" s="93"/>
      <c r="C116" s="93"/>
      <c r="D116" s="14"/>
      <c r="E116" s="14"/>
      <c r="F116" s="14"/>
      <c r="G116" s="14"/>
      <c r="H116" s="14"/>
      <c r="I116" s="23"/>
      <c r="J116" s="21"/>
      <c r="K116" s="21"/>
      <c r="L116" s="22"/>
      <c r="M116" s="19"/>
      <c r="N116" s="14"/>
      <c r="O116" s="14"/>
      <c r="P116" s="20"/>
      <c r="Q116" s="19"/>
      <c r="R116" s="31"/>
      <c r="S116" s="32"/>
      <c r="T116" s="33"/>
      <c r="U116" s="33"/>
      <c r="V116" s="31"/>
      <c r="W116" s="32"/>
      <c r="X116" s="23"/>
      <c r="Y116" s="21"/>
      <c r="Z116" s="21"/>
      <c r="AA116" s="22"/>
    </row>
    <row r="117" spans="1:27" s="18" customFormat="1" x14ac:dyDescent="0.3">
      <c r="A117" s="88"/>
      <c r="B117" s="93"/>
      <c r="C117" s="93"/>
      <c r="D117" s="15"/>
      <c r="E117" s="15"/>
      <c r="F117" s="15"/>
      <c r="G117" s="15"/>
      <c r="H117" s="15"/>
      <c r="I117" s="23"/>
      <c r="J117" s="21"/>
      <c r="K117" s="21"/>
      <c r="L117" s="22"/>
      <c r="M117" s="16"/>
      <c r="N117" s="15"/>
      <c r="O117" s="15"/>
      <c r="P117" s="17"/>
      <c r="Q117" s="16"/>
      <c r="R117" s="31"/>
      <c r="S117" s="32"/>
      <c r="T117" s="33"/>
      <c r="U117" s="33"/>
      <c r="V117" s="31"/>
      <c r="W117" s="32"/>
      <c r="X117" s="23"/>
      <c r="Y117" s="21"/>
      <c r="Z117" s="21"/>
      <c r="AA117" s="22"/>
    </row>
    <row r="118" spans="1:27" s="18" customFormat="1" x14ac:dyDescent="0.3">
      <c r="A118" s="88"/>
      <c r="B118" s="93"/>
      <c r="C118" s="93"/>
      <c r="D118" s="15"/>
      <c r="E118" s="15"/>
      <c r="F118" s="15"/>
      <c r="G118" s="15"/>
      <c r="H118" s="15"/>
      <c r="I118" s="23"/>
      <c r="J118" s="21"/>
      <c r="K118" s="21"/>
      <c r="L118" s="22"/>
      <c r="M118" s="19"/>
      <c r="N118" s="14"/>
      <c r="O118" s="14"/>
      <c r="P118" s="20"/>
      <c r="Q118" s="19"/>
      <c r="R118" s="31"/>
      <c r="S118" s="32"/>
      <c r="T118" s="33"/>
      <c r="U118" s="33"/>
      <c r="V118" s="31"/>
      <c r="W118" s="32"/>
      <c r="X118" s="23"/>
      <c r="Y118" s="21"/>
      <c r="Z118" s="21"/>
      <c r="AA118" s="22"/>
    </row>
    <row r="119" spans="1:27" s="18" customFormat="1" x14ac:dyDescent="0.3">
      <c r="A119" s="88"/>
      <c r="B119" s="93"/>
      <c r="C119" s="93"/>
      <c r="D119" s="14"/>
      <c r="E119" s="14"/>
      <c r="F119" s="14"/>
      <c r="G119" s="14"/>
      <c r="H119" s="14"/>
      <c r="I119" s="23"/>
      <c r="J119" s="21"/>
      <c r="K119" s="21"/>
      <c r="L119" s="22"/>
      <c r="M119" s="16"/>
      <c r="N119" s="15"/>
      <c r="O119" s="15"/>
      <c r="P119" s="17"/>
      <c r="Q119" s="16"/>
      <c r="R119" s="31"/>
      <c r="S119" s="32"/>
      <c r="T119" s="33"/>
      <c r="U119" s="33"/>
      <c r="V119" s="31"/>
      <c r="W119" s="32"/>
      <c r="X119" s="23"/>
      <c r="Y119" s="21"/>
      <c r="Z119" s="21"/>
      <c r="AA119" s="22"/>
    </row>
    <row r="120" spans="1:27" s="18" customFormat="1" x14ac:dyDescent="0.3">
      <c r="A120" s="88"/>
      <c r="B120" s="93"/>
      <c r="C120" s="93"/>
      <c r="D120" s="15"/>
      <c r="E120" s="15"/>
      <c r="F120" s="15"/>
      <c r="G120" s="15"/>
      <c r="H120" s="15"/>
      <c r="I120" s="23"/>
      <c r="J120" s="21"/>
      <c r="K120" s="21"/>
      <c r="L120" s="22"/>
      <c r="M120" s="19"/>
      <c r="N120" s="14"/>
      <c r="O120" s="14"/>
      <c r="P120" s="20"/>
      <c r="Q120" s="19"/>
      <c r="R120" s="31"/>
      <c r="S120" s="32"/>
      <c r="T120" s="33"/>
      <c r="U120" s="33"/>
      <c r="V120" s="31"/>
      <c r="W120" s="32"/>
      <c r="X120" s="23"/>
      <c r="Y120" s="21"/>
      <c r="Z120" s="21"/>
      <c r="AA120" s="22"/>
    </row>
    <row r="121" spans="1:27" s="18" customFormat="1" x14ac:dyDescent="0.3">
      <c r="A121" s="88"/>
      <c r="B121" s="93"/>
      <c r="C121" s="93"/>
      <c r="D121" s="15"/>
      <c r="E121" s="15"/>
      <c r="F121" s="15"/>
      <c r="G121" s="15"/>
      <c r="H121" s="15"/>
      <c r="I121" s="23"/>
      <c r="J121" s="21"/>
      <c r="K121" s="21"/>
      <c r="L121" s="22"/>
      <c r="M121" s="16"/>
      <c r="N121" s="15"/>
      <c r="O121" s="15"/>
      <c r="P121" s="17"/>
      <c r="Q121" s="16"/>
      <c r="R121" s="31"/>
      <c r="S121" s="32"/>
      <c r="T121" s="33"/>
      <c r="U121" s="33"/>
      <c r="V121" s="31"/>
      <c r="W121" s="32"/>
      <c r="X121" s="23"/>
      <c r="Y121" s="21"/>
      <c r="Z121" s="21"/>
      <c r="AA121" s="22"/>
    </row>
    <row r="122" spans="1:27" s="18" customFormat="1" x14ac:dyDescent="0.3">
      <c r="A122" s="88"/>
      <c r="B122" s="93"/>
      <c r="C122" s="93"/>
      <c r="D122" s="14"/>
      <c r="E122" s="14"/>
      <c r="F122" s="14"/>
      <c r="G122" s="14"/>
      <c r="H122" s="14"/>
      <c r="I122" s="23"/>
      <c r="J122" s="21"/>
      <c r="K122" s="21"/>
      <c r="L122" s="22"/>
      <c r="M122" s="19"/>
      <c r="N122" s="14"/>
      <c r="O122" s="14"/>
      <c r="P122" s="20"/>
      <c r="Q122" s="19"/>
      <c r="R122" s="31"/>
      <c r="S122" s="32"/>
      <c r="T122" s="33"/>
      <c r="U122" s="33"/>
      <c r="V122" s="31"/>
      <c r="W122" s="32"/>
      <c r="X122" s="23"/>
      <c r="Y122" s="21"/>
      <c r="Z122" s="21"/>
      <c r="AA122" s="22"/>
    </row>
    <row r="123" spans="1:27" s="18" customFormat="1" x14ac:dyDescent="0.3">
      <c r="A123" s="88"/>
      <c r="B123" s="93"/>
      <c r="C123" s="93"/>
      <c r="D123" s="15"/>
      <c r="E123" s="15"/>
      <c r="F123" s="15"/>
      <c r="G123" s="15"/>
      <c r="H123" s="15"/>
      <c r="I123" s="23"/>
      <c r="J123" s="21"/>
      <c r="K123" s="21"/>
      <c r="L123" s="22"/>
      <c r="M123" s="16"/>
      <c r="N123" s="15"/>
      <c r="O123" s="15"/>
      <c r="P123" s="17"/>
      <c r="Q123" s="16"/>
      <c r="R123" s="31"/>
      <c r="S123" s="32"/>
      <c r="T123" s="33"/>
      <c r="U123" s="33"/>
      <c r="V123" s="31"/>
      <c r="W123" s="32"/>
      <c r="X123" s="23"/>
      <c r="Y123" s="21"/>
      <c r="Z123" s="21"/>
      <c r="AA123" s="22"/>
    </row>
    <row r="124" spans="1:27" s="18" customFormat="1" x14ac:dyDescent="0.3">
      <c r="A124" s="88"/>
      <c r="B124" s="93"/>
      <c r="C124" s="93"/>
      <c r="D124" s="15"/>
      <c r="E124" s="15"/>
      <c r="F124" s="15"/>
      <c r="G124" s="15"/>
      <c r="H124" s="15"/>
      <c r="I124" s="23"/>
      <c r="J124" s="21"/>
      <c r="K124" s="21"/>
      <c r="L124" s="22"/>
      <c r="M124" s="19"/>
      <c r="N124" s="14"/>
      <c r="O124" s="14"/>
      <c r="P124" s="20"/>
      <c r="Q124" s="19"/>
      <c r="R124" s="31"/>
      <c r="S124" s="32"/>
      <c r="T124" s="33"/>
      <c r="U124" s="33"/>
      <c r="V124" s="31"/>
      <c r="W124" s="32"/>
      <c r="X124" s="23"/>
      <c r="Y124" s="21"/>
      <c r="Z124" s="21"/>
      <c r="AA124" s="22"/>
    </row>
    <row r="125" spans="1:27" s="18" customFormat="1" x14ac:dyDescent="0.3">
      <c r="A125" s="88"/>
      <c r="B125" s="93"/>
      <c r="C125" s="93"/>
      <c r="D125" s="14"/>
      <c r="E125" s="14"/>
      <c r="F125" s="14"/>
      <c r="G125" s="14"/>
      <c r="H125" s="14"/>
      <c r="I125" s="23"/>
      <c r="J125" s="21"/>
      <c r="K125" s="21"/>
      <c r="L125" s="22"/>
      <c r="M125" s="16"/>
      <c r="N125" s="15"/>
      <c r="O125" s="15"/>
      <c r="P125" s="17"/>
      <c r="Q125" s="16"/>
      <c r="R125" s="31"/>
      <c r="S125" s="32"/>
      <c r="T125" s="33"/>
      <c r="U125" s="33"/>
      <c r="V125" s="31"/>
      <c r="W125" s="32"/>
      <c r="X125" s="23"/>
      <c r="Y125" s="21"/>
      <c r="Z125" s="21"/>
      <c r="AA125" s="22"/>
    </row>
    <row r="126" spans="1:27" s="18" customFormat="1" x14ac:dyDescent="0.3">
      <c r="A126" s="88"/>
      <c r="B126" s="93"/>
      <c r="C126" s="93"/>
      <c r="D126" s="15"/>
      <c r="E126" s="15"/>
      <c r="F126" s="15"/>
      <c r="G126" s="15"/>
      <c r="H126" s="15"/>
      <c r="I126" s="23"/>
      <c r="J126" s="21"/>
      <c r="K126" s="21"/>
      <c r="L126" s="22"/>
      <c r="M126" s="19"/>
      <c r="N126" s="14"/>
      <c r="O126" s="14"/>
      <c r="P126" s="20"/>
      <c r="Q126" s="19"/>
      <c r="R126" s="31"/>
      <c r="S126" s="32"/>
      <c r="T126" s="33"/>
      <c r="U126" s="33"/>
      <c r="V126" s="31"/>
      <c r="W126" s="32"/>
      <c r="X126" s="23"/>
      <c r="Y126" s="21"/>
      <c r="Z126" s="21"/>
      <c r="AA126" s="22"/>
    </row>
    <row r="127" spans="1:27" s="18" customFormat="1" x14ac:dyDescent="0.3">
      <c r="A127" s="88"/>
      <c r="B127" s="93"/>
      <c r="C127" s="93"/>
      <c r="D127" s="15"/>
      <c r="E127" s="15"/>
      <c r="F127" s="15"/>
      <c r="G127" s="15"/>
      <c r="H127" s="15"/>
      <c r="I127" s="23"/>
      <c r="J127" s="21"/>
      <c r="K127" s="21"/>
      <c r="L127" s="22"/>
      <c r="M127" s="16"/>
      <c r="N127" s="15"/>
      <c r="O127" s="15"/>
      <c r="P127" s="17"/>
      <c r="Q127" s="16"/>
      <c r="R127" s="31"/>
      <c r="S127" s="32"/>
      <c r="T127" s="33"/>
      <c r="U127" s="33"/>
      <c r="V127" s="31"/>
      <c r="W127" s="32"/>
      <c r="X127" s="23"/>
      <c r="Y127" s="21"/>
      <c r="Z127" s="21"/>
      <c r="AA127" s="22"/>
    </row>
    <row r="128" spans="1:27" s="18" customFormat="1" x14ac:dyDescent="0.3">
      <c r="A128" s="88"/>
      <c r="B128" s="93"/>
      <c r="C128" s="93"/>
      <c r="D128" s="14"/>
      <c r="E128" s="14"/>
      <c r="F128" s="14"/>
      <c r="G128" s="14"/>
      <c r="H128" s="14"/>
      <c r="I128" s="23"/>
      <c r="J128" s="21"/>
      <c r="K128" s="21"/>
      <c r="L128" s="22"/>
      <c r="M128" s="19"/>
      <c r="N128" s="14"/>
      <c r="O128" s="14"/>
      <c r="P128" s="20"/>
      <c r="Q128" s="19"/>
      <c r="R128" s="31"/>
      <c r="S128" s="32"/>
      <c r="T128" s="33"/>
      <c r="U128" s="33"/>
      <c r="V128" s="31"/>
      <c r="W128" s="32"/>
      <c r="X128" s="23"/>
      <c r="Y128" s="21"/>
      <c r="Z128" s="21"/>
      <c r="AA128" s="22"/>
    </row>
    <row r="129" spans="1:27" s="18" customFormat="1" x14ac:dyDescent="0.3">
      <c r="A129" s="88"/>
      <c r="B129" s="93"/>
      <c r="C129" s="93"/>
      <c r="D129" s="15"/>
      <c r="E129" s="15"/>
      <c r="F129" s="15"/>
      <c r="G129" s="15"/>
      <c r="H129" s="15"/>
      <c r="I129" s="23"/>
      <c r="J129" s="21"/>
      <c r="K129" s="21"/>
      <c r="L129" s="22"/>
      <c r="M129" s="16"/>
      <c r="N129" s="15"/>
      <c r="O129" s="15"/>
      <c r="P129" s="17"/>
      <c r="Q129" s="16"/>
      <c r="R129" s="31"/>
      <c r="S129" s="32"/>
      <c r="T129" s="33"/>
      <c r="U129" s="33"/>
      <c r="V129" s="31"/>
      <c r="W129" s="32"/>
      <c r="X129" s="23"/>
      <c r="Y129" s="21"/>
      <c r="Z129" s="21"/>
      <c r="AA129" s="22"/>
    </row>
    <row r="130" spans="1:27" s="18" customFormat="1" x14ac:dyDescent="0.3">
      <c r="A130" s="88"/>
      <c r="B130" s="93"/>
      <c r="C130" s="93"/>
      <c r="D130" s="15"/>
      <c r="E130" s="15"/>
      <c r="F130" s="15"/>
      <c r="G130" s="15"/>
      <c r="H130" s="15"/>
      <c r="I130" s="23"/>
      <c r="J130" s="21"/>
      <c r="K130" s="21"/>
      <c r="L130" s="22"/>
      <c r="M130" s="19"/>
      <c r="N130" s="14"/>
      <c r="O130" s="14"/>
      <c r="P130" s="20"/>
      <c r="Q130" s="19"/>
      <c r="R130" s="31"/>
      <c r="S130" s="32"/>
      <c r="T130" s="33"/>
      <c r="U130" s="33"/>
      <c r="V130" s="31"/>
      <c r="W130" s="32"/>
      <c r="X130" s="23"/>
      <c r="Y130" s="21"/>
      <c r="Z130" s="21"/>
      <c r="AA130" s="22"/>
    </row>
    <row r="131" spans="1:27" s="18" customFormat="1" x14ac:dyDescent="0.3">
      <c r="A131" s="88"/>
      <c r="B131" s="93"/>
      <c r="C131" s="93"/>
      <c r="D131" s="14"/>
      <c r="E131" s="14"/>
      <c r="F131" s="14"/>
      <c r="G131" s="14"/>
      <c r="H131" s="14"/>
      <c r="I131" s="23"/>
      <c r="J131" s="21"/>
      <c r="K131" s="21"/>
      <c r="L131" s="22"/>
      <c r="M131" s="16"/>
      <c r="N131" s="15"/>
      <c r="O131" s="15"/>
      <c r="P131" s="17"/>
      <c r="Q131" s="16"/>
      <c r="R131" s="31"/>
      <c r="S131" s="32"/>
      <c r="T131" s="33"/>
      <c r="U131" s="33"/>
      <c r="V131" s="31"/>
      <c r="W131" s="32"/>
      <c r="X131" s="23"/>
      <c r="Y131" s="21"/>
      <c r="Z131" s="21"/>
      <c r="AA131" s="22"/>
    </row>
    <row r="132" spans="1:27" s="18" customFormat="1" x14ac:dyDescent="0.3">
      <c r="A132" s="88"/>
      <c r="B132" s="93"/>
      <c r="C132" s="93"/>
      <c r="D132" s="15"/>
      <c r="E132" s="15"/>
      <c r="F132" s="15"/>
      <c r="G132" s="15"/>
      <c r="H132" s="15"/>
      <c r="I132" s="23"/>
      <c r="J132" s="21"/>
      <c r="K132" s="21"/>
      <c r="L132" s="22"/>
      <c r="M132" s="19"/>
      <c r="N132" s="14"/>
      <c r="O132" s="14"/>
      <c r="P132" s="20"/>
      <c r="Q132" s="19"/>
      <c r="R132" s="31"/>
      <c r="S132" s="32"/>
      <c r="T132" s="33"/>
      <c r="U132" s="33"/>
      <c r="V132" s="31"/>
      <c r="W132" s="32"/>
      <c r="X132" s="23"/>
      <c r="Y132" s="21"/>
      <c r="Z132" s="21"/>
      <c r="AA132" s="22"/>
    </row>
    <row r="133" spans="1:27" s="18" customFormat="1" x14ac:dyDescent="0.3">
      <c r="A133" s="88"/>
      <c r="B133" s="93"/>
      <c r="C133" s="93"/>
      <c r="D133" s="15"/>
      <c r="E133" s="15"/>
      <c r="F133" s="15"/>
      <c r="G133" s="15"/>
      <c r="H133" s="15"/>
      <c r="I133" s="23"/>
      <c r="J133" s="21"/>
      <c r="K133" s="21"/>
      <c r="L133" s="22"/>
      <c r="M133" s="16"/>
      <c r="N133" s="15"/>
      <c r="O133" s="15"/>
      <c r="P133" s="17"/>
      <c r="Q133" s="16"/>
      <c r="R133" s="31"/>
      <c r="S133" s="32"/>
      <c r="T133" s="33"/>
      <c r="U133" s="33"/>
      <c r="V133" s="31"/>
      <c r="W133" s="32"/>
      <c r="X133" s="23"/>
      <c r="Y133" s="21"/>
      <c r="Z133" s="21"/>
      <c r="AA133" s="22"/>
    </row>
    <row r="134" spans="1:27" s="18" customFormat="1" x14ac:dyDescent="0.3">
      <c r="A134" s="88"/>
      <c r="B134" s="93"/>
      <c r="C134" s="93"/>
      <c r="D134" s="14"/>
      <c r="E134" s="14"/>
      <c r="F134" s="14"/>
      <c r="G134" s="14"/>
      <c r="H134" s="14"/>
      <c r="I134" s="23"/>
      <c r="J134" s="21"/>
      <c r="K134" s="21"/>
      <c r="L134" s="22"/>
      <c r="M134" s="19"/>
      <c r="N134" s="14"/>
      <c r="O134" s="14"/>
      <c r="P134" s="20"/>
      <c r="Q134" s="19"/>
      <c r="R134" s="31"/>
      <c r="S134" s="32"/>
      <c r="T134" s="33"/>
      <c r="U134" s="33"/>
      <c r="V134" s="31"/>
      <c r="W134" s="32"/>
      <c r="X134" s="23"/>
      <c r="Y134" s="21"/>
      <c r="Z134" s="21"/>
      <c r="AA134" s="22"/>
    </row>
    <row r="135" spans="1:27" s="18" customFormat="1" x14ac:dyDescent="0.3">
      <c r="A135" s="88"/>
      <c r="B135" s="93"/>
      <c r="C135" s="93"/>
      <c r="D135" s="15"/>
      <c r="E135" s="15"/>
      <c r="F135" s="15"/>
      <c r="G135" s="15"/>
      <c r="H135" s="15"/>
      <c r="I135" s="23"/>
      <c r="J135" s="21"/>
      <c r="K135" s="21"/>
      <c r="L135" s="22"/>
      <c r="M135" s="16"/>
      <c r="N135" s="15"/>
      <c r="O135" s="15"/>
      <c r="P135" s="17"/>
      <c r="Q135" s="16"/>
      <c r="R135" s="31"/>
      <c r="S135" s="32"/>
      <c r="T135" s="33"/>
      <c r="U135" s="33"/>
      <c r="V135" s="31"/>
      <c r="W135" s="32"/>
      <c r="X135" s="23"/>
      <c r="Y135" s="21"/>
      <c r="Z135" s="21"/>
      <c r="AA135" s="22"/>
    </row>
    <row r="136" spans="1:27" s="18" customFormat="1" x14ac:dyDescent="0.3">
      <c r="A136" s="88"/>
      <c r="B136" s="93"/>
      <c r="C136" s="93"/>
      <c r="D136" s="15"/>
      <c r="E136" s="15"/>
      <c r="F136" s="15"/>
      <c r="G136" s="15"/>
      <c r="H136" s="15"/>
      <c r="I136" s="23"/>
      <c r="J136" s="21"/>
      <c r="K136" s="21"/>
      <c r="L136" s="22"/>
      <c r="M136" s="19"/>
      <c r="N136" s="14"/>
      <c r="O136" s="14"/>
      <c r="P136" s="20"/>
      <c r="Q136" s="19"/>
      <c r="R136" s="31"/>
      <c r="S136" s="32"/>
      <c r="T136" s="33"/>
      <c r="U136" s="33"/>
      <c r="V136" s="31"/>
      <c r="W136" s="32"/>
      <c r="X136" s="23"/>
      <c r="Y136" s="21"/>
      <c r="Z136" s="21"/>
      <c r="AA136" s="22"/>
    </row>
    <row r="137" spans="1:27" s="18" customFormat="1" x14ac:dyDescent="0.3">
      <c r="A137" s="88"/>
      <c r="B137" s="93"/>
      <c r="C137" s="93"/>
      <c r="D137" s="14"/>
      <c r="E137" s="14"/>
      <c r="F137" s="14"/>
      <c r="G137" s="14"/>
      <c r="H137" s="14"/>
      <c r="I137" s="23"/>
      <c r="J137" s="21"/>
      <c r="K137" s="21"/>
      <c r="L137" s="22"/>
      <c r="M137" s="16"/>
      <c r="N137" s="15"/>
      <c r="O137" s="15"/>
      <c r="P137" s="17"/>
      <c r="Q137" s="16"/>
      <c r="R137" s="31"/>
      <c r="S137" s="32"/>
      <c r="T137" s="33"/>
      <c r="U137" s="33"/>
      <c r="V137" s="31"/>
      <c r="W137" s="32"/>
      <c r="X137" s="23"/>
      <c r="Y137" s="21"/>
      <c r="Z137" s="21"/>
      <c r="AA137" s="22"/>
    </row>
    <row r="138" spans="1:27" s="18" customFormat="1" x14ac:dyDescent="0.3">
      <c r="A138" s="88"/>
      <c r="B138" s="93"/>
      <c r="C138" s="93"/>
      <c r="D138" s="15"/>
      <c r="E138" s="15"/>
      <c r="F138" s="15"/>
      <c r="G138" s="15"/>
      <c r="H138" s="15"/>
      <c r="I138" s="23"/>
      <c r="J138" s="21"/>
      <c r="K138" s="21"/>
      <c r="L138" s="22"/>
      <c r="M138" s="19"/>
      <c r="N138" s="14"/>
      <c r="O138" s="14"/>
      <c r="P138" s="20"/>
      <c r="Q138" s="19"/>
      <c r="R138" s="31"/>
      <c r="S138" s="32"/>
      <c r="T138" s="33"/>
      <c r="U138" s="33"/>
      <c r="V138" s="31"/>
      <c r="W138" s="32"/>
      <c r="X138" s="23"/>
      <c r="Y138" s="21"/>
      <c r="Z138" s="21"/>
      <c r="AA138" s="22"/>
    </row>
    <row r="139" spans="1:27" s="18" customFormat="1" x14ac:dyDescent="0.3">
      <c r="A139" s="88"/>
      <c r="B139" s="93"/>
      <c r="C139" s="93"/>
      <c r="D139" s="15"/>
      <c r="E139" s="15"/>
      <c r="F139" s="15"/>
      <c r="G139" s="15"/>
      <c r="H139" s="15"/>
      <c r="I139" s="23"/>
      <c r="J139" s="21"/>
      <c r="K139" s="21"/>
      <c r="L139" s="22"/>
      <c r="M139" s="16"/>
      <c r="N139" s="15"/>
      <c r="O139" s="15"/>
      <c r="P139" s="17"/>
      <c r="Q139" s="16"/>
      <c r="R139" s="31"/>
      <c r="S139" s="32"/>
      <c r="T139" s="33"/>
      <c r="U139" s="33"/>
      <c r="V139" s="31"/>
      <c r="W139" s="32"/>
      <c r="X139" s="23"/>
      <c r="Y139" s="21"/>
      <c r="Z139" s="21"/>
      <c r="AA139" s="22"/>
    </row>
    <row r="140" spans="1:27" s="18" customFormat="1" x14ac:dyDescent="0.3">
      <c r="A140" s="88"/>
      <c r="B140" s="93"/>
      <c r="C140" s="93"/>
      <c r="D140" s="14"/>
      <c r="E140" s="14"/>
      <c r="F140" s="14"/>
      <c r="G140" s="14"/>
      <c r="H140" s="14"/>
      <c r="I140" s="23"/>
      <c r="J140" s="21"/>
      <c r="K140" s="21"/>
      <c r="L140" s="22"/>
      <c r="M140" s="19"/>
      <c r="N140" s="14"/>
      <c r="O140" s="14"/>
      <c r="P140" s="20"/>
      <c r="Q140" s="19"/>
      <c r="R140" s="31"/>
      <c r="S140" s="32"/>
      <c r="T140" s="33"/>
      <c r="U140" s="33"/>
      <c r="V140" s="31"/>
      <c r="W140" s="32"/>
      <c r="X140" s="23"/>
      <c r="Y140" s="21"/>
      <c r="Z140" s="21"/>
      <c r="AA140" s="22"/>
    </row>
    <row r="141" spans="1:27" s="18" customFormat="1" x14ac:dyDescent="0.3">
      <c r="A141" s="88"/>
      <c r="B141" s="93"/>
      <c r="C141" s="93"/>
      <c r="D141" s="15"/>
      <c r="E141" s="15"/>
      <c r="F141" s="15"/>
      <c r="G141" s="15"/>
      <c r="H141" s="15"/>
      <c r="I141" s="23"/>
      <c r="J141" s="21"/>
      <c r="K141" s="21"/>
      <c r="L141" s="22"/>
      <c r="M141" s="16"/>
      <c r="N141" s="15"/>
      <c r="O141" s="15"/>
      <c r="P141" s="17"/>
      <c r="Q141" s="16"/>
      <c r="R141" s="31"/>
      <c r="S141" s="32"/>
      <c r="T141" s="33"/>
      <c r="U141" s="33"/>
      <c r="V141" s="31"/>
      <c r="W141" s="32"/>
      <c r="X141" s="23"/>
      <c r="Y141" s="21"/>
      <c r="Z141" s="21"/>
      <c r="AA141" s="22"/>
    </row>
    <row r="142" spans="1:27" s="18" customFormat="1" x14ac:dyDescent="0.3">
      <c r="A142" s="88"/>
      <c r="B142" s="93"/>
      <c r="C142" s="93"/>
      <c r="D142" s="15"/>
      <c r="E142" s="15"/>
      <c r="F142" s="15"/>
      <c r="G142" s="15"/>
      <c r="H142" s="15"/>
      <c r="I142" s="23"/>
      <c r="J142" s="21"/>
      <c r="K142" s="21"/>
      <c r="L142" s="22"/>
      <c r="M142" s="19"/>
      <c r="N142" s="14"/>
      <c r="O142" s="14"/>
      <c r="P142" s="20"/>
      <c r="Q142" s="19"/>
      <c r="R142" s="31"/>
      <c r="S142" s="32"/>
      <c r="T142" s="33"/>
      <c r="U142" s="33"/>
      <c r="V142" s="31"/>
      <c r="W142" s="32"/>
      <c r="X142" s="23"/>
      <c r="Y142" s="21"/>
      <c r="Z142" s="21"/>
      <c r="AA142" s="22"/>
    </row>
    <row r="143" spans="1:27" s="18" customFormat="1" x14ac:dyDescent="0.3">
      <c r="A143" s="88"/>
      <c r="B143" s="93"/>
      <c r="C143" s="93"/>
      <c r="D143" s="14"/>
      <c r="E143" s="14"/>
      <c r="F143" s="14"/>
      <c r="G143" s="14"/>
      <c r="H143" s="14"/>
      <c r="I143" s="23"/>
      <c r="J143" s="21"/>
      <c r="K143" s="21"/>
      <c r="L143" s="22"/>
      <c r="M143" s="16"/>
      <c r="N143" s="15"/>
      <c r="O143" s="15"/>
      <c r="P143" s="17"/>
      <c r="Q143" s="16"/>
      <c r="R143" s="31"/>
      <c r="S143" s="32"/>
      <c r="T143" s="33"/>
      <c r="U143" s="33"/>
      <c r="V143" s="31"/>
      <c r="W143" s="32"/>
      <c r="X143" s="23"/>
      <c r="Y143" s="21"/>
      <c r="Z143" s="21"/>
      <c r="AA143" s="22"/>
    </row>
    <row r="144" spans="1:27" s="18" customFormat="1" x14ac:dyDescent="0.3">
      <c r="A144" s="88"/>
      <c r="B144" s="93"/>
      <c r="C144" s="93"/>
      <c r="D144" s="15"/>
      <c r="E144" s="15"/>
      <c r="F144" s="15"/>
      <c r="G144" s="15"/>
      <c r="H144" s="15"/>
      <c r="I144" s="23"/>
      <c r="J144" s="21"/>
      <c r="K144" s="21"/>
      <c r="L144" s="22"/>
      <c r="M144" s="19"/>
      <c r="N144" s="14"/>
      <c r="O144" s="14"/>
      <c r="P144" s="20"/>
      <c r="Q144" s="19"/>
      <c r="R144" s="31"/>
      <c r="S144" s="32"/>
      <c r="T144" s="33"/>
      <c r="U144" s="33"/>
      <c r="V144" s="31"/>
      <c r="W144" s="32"/>
      <c r="X144" s="23"/>
      <c r="Y144" s="21"/>
      <c r="Z144" s="21"/>
      <c r="AA144" s="22"/>
    </row>
    <row r="145" spans="1:27" s="18" customFormat="1" x14ac:dyDescent="0.3">
      <c r="A145" s="88"/>
      <c r="B145" s="93"/>
      <c r="C145" s="93"/>
      <c r="D145" s="15"/>
      <c r="E145" s="15"/>
      <c r="F145" s="15"/>
      <c r="G145" s="15"/>
      <c r="H145" s="15"/>
      <c r="I145" s="23"/>
      <c r="J145" s="21"/>
      <c r="K145" s="21"/>
      <c r="L145" s="22"/>
      <c r="M145" s="16"/>
      <c r="N145" s="15"/>
      <c r="O145" s="15"/>
      <c r="P145" s="17"/>
      <c r="Q145" s="16"/>
      <c r="R145" s="31"/>
      <c r="S145" s="32"/>
      <c r="T145" s="33"/>
      <c r="U145" s="33"/>
      <c r="V145" s="31"/>
      <c r="W145" s="32"/>
      <c r="X145" s="23"/>
      <c r="Y145" s="21"/>
      <c r="Z145" s="21"/>
      <c r="AA145" s="22"/>
    </row>
    <row r="146" spans="1:27" s="18" customFormat="1" x14ac:dyDescent="0.3">
      <c r="A146" s="88"/>
      <c r="B146" s="93"/>
      <c r="C146" s="93"/>
      <c r="D146" s="14"/>
      <c r="E146" s="14"/>
      <c r="F146" s="14"/>
      <c r="G146" s="14"/>
      <c r="H146" s="14"/>
      <c r="I146" s="23"/>
      <c r="J146" s="21"/>
      <c r="K146" s="21"/>
      <c r="L146" s="22"/>
      <c r="M146" s="19"/>
      <c r="N146" s="14"/>
      <c r="O146" s="14"/>
      <c r="P146" s="20"/>
      <c r="Q146" s="19"/>
      <c r="R146" s="31"/>
      <c r="S146" s="32"/>
      <c r="T146" s="33"/>
      <c r="U146" s="33"/>
      <c r="V146" s="31"/>
      <c r="W146" s="32"/>
      <c r="X146" s="23"/>
      <c r="Y146" s="21"/>
      <c r="Z146" s="21"/>
      <c r="AA146" s="22"/>
    </row>
    <row r="147" spans="1:27" s="18" customFormat="1" x14ac:dyDescent="0.3">
      <c r="A147" s="88"/>
      <c r="B147" s="93"/>
      <c r="C147" s="93"/>
      <c r="D147" s="15"/>
      <c r="E147" s="15"/>
      <c r="F147" s="15"/>
      <c r="G147" s="15"/>
      <c r="H147" s="15"/>
      <c r="I147" s="23"/>
      <c r="J147" s="21"/>
      <c r="K147" s="21"/>
      <c r="L147" s="22"/>
      <c r="M147" s="16"/>
      <c r="N147" s="15"/>
      <c r="O147" s="15"/>
      <c r="P147" s="17"/>
      <c r="Q147" s="16"/>
      <c r="R147" s="31"/>
      <c r="S147" s="32"/>
      <c r="T147" s="33"/>
      <c r="U147" s="33"/>
      <c r="V147" s="31"/>
      <c r="W147" s="32"/>
      <c r="X147" s="23"/>
      <c r="Y147" s="21"/>
      <c r="Z147" s="21"/>
      <c r="AA147" s="22"/>
    </row>
    <row r="148" spans="1:27" s="18" customFormat="1" x14ac:dyDescent="0.3">
      <c r="A148" s="88"/>
      <c r="B148" s="93"/>
      <c r="C148" s="93"/>
      <c r="D148" s="15"/>
      <c r="E148" s="15"/>
      <c r="F148" s="15"/>
      <c r="G148" s="15"/>
      <c r="H148" s="15"/>
      <c r="I148" s="23"/>
      <c r="J148" s="21"/>
      <c r="K148" s="21"/>
      <c r="L148" s="22"/>
      <c r="M148" s="19"/>
      <c r="N148" s="14"/>
      <c r="O148" s="14"/>
      <c r="P148" s="20"/>
      <c r="Q148" s="19"/>
      <c r="R148" s="31"/>
      <c r="S148" s="32"/>
      <c r="T148" s="33"/>
      <c r="U148" s="33"/>
      <c r="V148" s="31"/>
      <c r="W148" s="32"/>
      <c r="X148" s="23"/>
      <c r="Y148" s="21"/>
      <c r="Z148" s="21"/>
      <c r="AA148" s="22"/>
    </row>
    <row r="149" spans="1:27" s="18" customFormat="1" x14ac:dyDescent="0.3">
      <c r="A149" s="88"/>
      <c r="B149" s="93"/>
      <c r="C149" s="93"/>
      <c r="D149" s="14"/>
      <c r="E149" s="14"/>
      <c r="F149" s="14"/>
      <c r="G149" s="14"/>
      <c r="H149" s="14"/>
      <c r="I149" s="23"/>
      <c r="J149" s="21"/>
      <c r="K149" s="21"/>
      <c r="L149" s="22"/>
      <c r="M149" s="16"/>
      <c r="N149" s="15"/>
      <c r="O149" s="15"/>
      <c r="P149" s="17"/>
      <c r="Q149" s="16"/>
      <c r="R149" s="31"/>
      <c r="S149" s="32"/>
      <c r="T149" s="33"/>
      <c r="U149" s="33"/>
      <c r="V149" s="31"/>
      <c r="W149" s="32"/>
      <c r="X149" s="23"/>
      <c r="Y149" s="21"/>
      <c r="Z149" s="21"/>
      <c r="AA149" s="22"/>
    </row>
    <row r="150" spans="1:27" s="18" customFormat="1" x14ac:dyDescent="0.3">
      <c r="A150" s="88"/>
      <c r="B150" s="93"/>
      <c r="C150" s="93"/>
      <c r="D150" s="15"/>
      <c r="E150" s="15"/>
      <c r="F150" s="15"/>
      <c r="G150" s="15"/>
      <c r="H150" s="15"/>
      <c r="I150" s="23"/>
      <c r="J150" s="21"/>
      <c r="K150" s="21"/>
      <c r="L150" s="22"/>
      <c r="M150" s="19"/>
      <c r="N150" s="14"/>
      <c r="O150" s="14"/>
      <c r="P150" s="20"/>
      <c r="Q150" s="19"/>
      <c r="R150" s="31"/>
      <c r="S150" s="32"/>
      <c r="T150" s="33"/>
      <c r="U150" s="33"/>
      <c r="V150" s="31"/>
      <c r="W150" s="32"/>
      <c r="X150" s="23"/>
      <c r="Y150" s="21"/>
      <c r="Z150" s="21"/>
      <c r="AA150" s="22"/>
    </row>
    <row r="151" spans="1:27" s="18" customFormat="1" x14ac:dyDescent="0.3">
      <c r="A151" s="88"/>
      <c r="B151" s="93"/>
      <c r="C151" s="93"/>
      <c r="D151" s="15"/>
      <c r="E151" s="15"/>
      <c r="F151" s="15"/>
      <c r="G151" s="15"/>
      <c r="H151" s="15"/>
      <c r="I151" s="23"/>
      <c r="J151" s="21"/>
      <c r="K151" s="21"/>
      <c r="L151" s="22"/>
      <c r="M151" s="16"/>
      <c r="N151" s="15"/>
      <c r="O151" s="15"/>
      <c r="P151" s="17"/>
      <c r="Q151" s="16"/>
      <c r="R151" s="31"/>
      <c r="S151" s="32"/>
      <c r="T151" s="33"/>
      <c r="U151" s="33"/>
      <c r="V151" s="31"/>
      <c r="W151" s="32"/>
      <c r="X151" s="23"/>
      <c r="Y151" s="21"/>
      <c r="Z151" s="21"/>
      <c r="AA151" s="22"/>
    </row>
    <row r="152" spans="1:27" s="18" customFormat="1" x14ac:dyDescent="0.3">
      <c r="A152" s="88"/>
      <c r="B152" s="93"/>
      <c r="C152" s="93"/>
      <c r="D152" s="14"/>
      <c r="E152" s="14"/>
      <c r="F152" s="14"/>
      <c r="G152" s="14"/>
      <c r="H152" s="14"/>
      <c r="I152" s="23"/>
      <c r="J152" s="21"/>
      <c r="K152" s="21"/>
      <c r="L152" s="22"/>
      <c r="M152" s="19"/>
      <c r="N152" s="14"/>
      <c r="O152" s="14"/>
      <c r="P152" s="20"/>
      <c r="Q152" s="19"/>
      <c r="R152" s="31"/>
      <c r="S152" s="32"/>
      <c r="T152" s="33"/>
      <c r="U152" s="33"/>
      <c r="V152" s="31"/>
      <c r="W152" s="32"/>
      <c r="X152" s="23"/>
      <c r="Y152" s="21"/>
      <c r="Z152" s="21"/>
      <c r="AA152" s="22"/>
    </row>
    <row r="153" spans="1:27" s="18" customFormat="1" x14ac:dyDescent="0.3">
      <c r="A153" s="88"/>
      <c r="B153" s="93"/>
      <c r="C153" s="93"/>
      <c r="D153" s="15"/>
      <c r="E153" s="15"/>
      <c r="F153" s="15"/>
      <c r="G153" s="15"/>
      <c r="H153" s="15"/>
      <c r="I153" s="23"/>
      <c r="J153" s="21"/>
      <c r="K153" s="21"/>
      <c r="L153" s="22"/>
      <c r="M153" s="16"/>
      <c r="N153" s="15"/>
      <c r="O153" s="15"/>
      <c r="P153" s="17"/>
      <c r="Q153" s="16"/>
      <c r="R153" s="31"/>
      <c r="S153" s="32"/>
      <c r="T153" s="33"/>
      <c r="U153" s="33"/>
      <c r="V153" s="31"/>
      <c r="W153" s="32"/>
      <c r="X153" s="23"/>
      <c r="Y153" s="21"/>
      <c r="Z153" s="21"/>
      <c r="AA153" s="22"/>
    </row>
    <row r="154" spans="1:27" s="18" customFormat="1" x14ac:dyDescent="0.3">
      <c r="A154" s="88"/>
      <c r="B154" s="93"/>
      <c r="C154" s="93"/>
      <c r="D154" s="15"/>
      <c r="E154" s="15"/>
      <c r="F154" s="15"/>
      <c r="G154" s="15"/>
      <c r="H154" s="15"/>
      <c r="I154" s="23"/>
      <c r="J154" s="21"/>
      <c r="K154" s="21"/>
      <c r="L154" s="22"/>
      <c r="M154" s="19"/>
      <c r="N154" s="14"/>
      <c r="O154" s="14"/>
      <c r="P154" s="20"/>
      <c r="Q154" s="19"/>
      <c r="R154" s="31"/>
      <c r="S154" s="32"/>
      <c r="T154" s="33"/>
      <c r="U154" s="33"/>
      <c r="V154" s="31"/>
      <c r="W154" s="32"/>
      <c r="X154" s="23"/>
      <c r="Y154" s="21"/>
      <c r="Z154" s="21"/>
      <c r="AA154" s="22"/>
    </row>
    <row r="155" spans="1:27" s="18" customFormat="1" x14ac:dyDescent="0.3">
      <c r="A155" s="88"/>
      <c r="B155" s="93"/>
      <c r="C155" s="93"/>
      <c r="D155" s="14"/>
      <c r="E155" s="14"/>
      <c r="F155" s="14"/>
      <c r="G155" s="14"/>
      <c r="H155" s="14"/>
      <c r="I155" s="23"/>
      <c r="J155" s="21"/>
      <c r="K155" s="21"/>
      <c r="L155" s="22"/>
      <c r="M155" s="16"/>
      <c r="N155" s="15"/>
      <c r="O155" s="15"/>
      <c r="P155" s="17"/>
      <c r="Q155" s="16"/>
      <c r="R155" s="31"/>
      <c r="S155" s="32"/>
      <c r="T155" s="33"/>
      <c r="U155" s="33"/>
      <c r="V155" s="31"/>
      <c r="W155" s="32"/>
      <c r="X155" s="23"/>
      <c r="Y155" s="21"/>
      <c r="Z155" s="21"/>
      <c r="AA155" s="22"/>
    </row>
    <row r="156" spans="1:27" s="18" customFormat="1" x14ac:dyDescent="0.3">
      <c r="A156" s="88"/>
      <c r="B156" s="93"/>
      <c r="C156" s="93"/>
      <c r="D156" s="15"/>
      <c r="E156" s="15"/>
      <c r="F156" s="15"/>
      <c r="G156" s="15"/>
      <c r="H156" s="15"/>
      <c r="I156" s="23"/>
      <c r="J156" s="21"/>
      <c r="K156" s="21"/>
      <c r="L156" s="22"/>
      <c r="M156" s="19"/>
      <c r="N156" s="14"/>
      <c r="O156" s="14"/>
      <c r="P156" s="20"/>
      <c r="Q156" s="19"/>
      <c r="R156" s="31"/>
      <c r="S156" s="32"/>
      <c r="T156" s="33"/>
      <c r="U156" s="33"/>
      <c r="V156" s="31"/>
      <c r="W156" s="32"/>
      <c r="X156" s="23"/>
      <c r="Y156" s="21"/>
      <c r="Z156" s="21"/>
      <c r="AA156" s="22"/>
    </row>
    <row r="157" spans="1:27" s="18" customFormat="1" x14ac:dyDescent="0.3">
      <c r="A157" s="88"/>
      <c r="B157" s="93"/>
      <c r="C157" s="93"/>
      <c r="D157" s="15"/>
      <c r="E157" s="15"/>
      <c r="F157" s="15"/>
      <c r="G157" s="15"/>
      <c r="H157" s="15"/>
      <c r="I157" s="23"/>
      <c r="J157" s="21"/>
      <c r="K157" s="21"/>
      <c r="L157" s="22"/>
      <c r="M157" s="16"/>
      <c r="N157" s="15"/>
      <c r="O157" s="15"/>
      <c r="P157" s="17"/>
      <c r="Q157" s="16"/>
      <c r="R157" s="31"/>
      <c r="S157" s="32"/>
      <c r="T157" s="33"/>
      <c r="U157" s="33"/>
      <c r="V157" s="31"/>
      <c r="W157" s="32"/>
      <c r="X157" s="23"/>
      <c r="Y157" s="21"/>
      <c r="Z157" s="21"/>
      <c r="AA157" s="22"/>
    </row>
    <row r="158" spans="1:27" s="18" customFormat="1" x14ac:dyDescent="0.3">
      <c r="A158" s="88"/>
      <c r="B158" s="93"/>
      <c r="C158" s="93"/>
      <c r="D158" s="14"/>
      <c r="E158" s="14"/>
      <c r="F158" s="14"/>
      <c r="G158" s="14"/>
      <c r="H158" s="14"/>
      <c r="I158" s="23"/>
      <c r="J158" s="21"/>
      <c r="K158" s="21"/>
      <c r="L158" s="22"/>
      <c r="M158" s="19"/>
      <c r="N158" s="14"/>
      <c r="O158" s="14"/>
      <c r="P158" s="20"/>
      <c r="Q158" s="19"/>
      <c r="R158" s="31"/>
      <c r="S158" s="32"/>
      <c r="T158" s="33"/>
      <c r="U158" s="33"/>
      <c r="V158" s="31"/>
      <c r="W158" s="32"/>
      <c r="X158" s="23"/>
      <c r="Y158" s="21"/>
      <c r="Z158" s="21"/>
      <c r="AA158" s="22"/>
    </row>
    <row r="159" spans="1:27" s="18" customFormat="1" x14ac:dyDescent="0.3">
      <c r="A159" s="88"/>
      <c r="B159" s="93"/>
      <c r="C159" s="93"/>
      <c r="D159" s="15"/>
      <c r="E159" s="15"/>
      <c r="F159" s="15"/>
      <c r="G159" s="15"/>
      <c r="H159" s="15"/>
      <c r="I159" s="23"/>
      <c r="J159" s="21"/>
      <c r="K159" s="21"/>
      <c r="L159" s="22"/>
      <c r="M159" s="16"/>
      <c r="N159" s="15"/>
      <c r="O159" s="15"/>
      <c r="P159" s="17"/>
      <c r="Q159" s="16"/>
      <c r="R159" s="31"/>
      <c r="S159" s="32"/>
      <c r="T159" s="33"/>
      <c r="U159" s="33"/>
      <c r="V159" s="31"/>
      <c r="W159" s="32"/>
      <c r="X159" s="23"/>
      <c r="Y159" s="21"/>
      <c r="Z159" s="21"/>
      <c r="AA159" s="22"/>
    </row>
    <row r="160" spans="1:27" s="18" customFormat="1" x14ac:dyDescent="0.3">
      <c r="A160" s="88"/>
      <c r="B160" s="93"/>
      <c r="C160" s="93"/>
      <c r="D160" s="15"/>
      <c r="E160" s="15"/>
      <c r="F160" s="15"/>
      <c r="G160" s="15"/>
      <c r="H160" s="15"/>
      <c r="I160" s="23"/>
      <c r="J160" s="21"/>
      <c r="K160" s="21"/>
      <c r="L160" s="22"/>
      <c r="M160" s="19"/>
      <c r="N160" s="14"/>
      <c r="O160" s="14"/>
      <c r="P160" s="20"/>
      <c r="Q160" s="19"/>
      <c r="R160" s="31"/>
      <c r="S160" s="32"/>
      <c r="T160" s="33"/>
      <c r="U160" s="33"/>
      <c r="V160" s="31"/>
      <c r="W160" s="32"/>
      <c r="X160" s="23"/>
      <c r="Y160" s="21"/>
      <c r="Z160" s="21"/>
      <c r="AA160" s="22"/>
    </row>
    <row r="161" spans="1:27" s="18" customFormat="1" x14ac:dyDescent="0.3">
      <c r="A161" s="88"/>
      <c r="B161" s="93"/>
      <c r="C161" s="93"/>
      <c r="D161" s="14"/>
      <c r="E161" s="14"/>
      <c r="F161" s="14"/>
      <c r="G161" s="14"/>
      <c r="H161" s="14"/>
      <c r="I161" s="23"/>
      <c r="J161" s="21"/>
      <c r="K161" s="21"/>
      <c r="L161" s="22"/>
      <c r="M161" s="16"/>
      <c r="N161" s="15"/>
      <c r="O161" s="15"/>
      <c r="P161" s="17"/>
      <c r="Q161" s="16"/>
      <c r="R161" s="31"/>
      <c r="S161" s="32"/>
      <c r="T161" s="33"/>
      <c r="U161" s="33"/>
      <c r="V161" s="31"/>
      <c r="W161" s="32"/>
      <c r="X161" s="23"/>
      <c r="Y161" s="21"/>
      <c r="Z161" s="21"/>
      <c r="AA161" s="22"/>
    </row>
    <row r="162" spans="1:27" s="18" customFormat="1" x14ac:dyDescent="0.3">
      <c r="A162" s="88"/>
      <c r="B162" s="93"/>
      <c r="C162" s="93"/>
      <c r="D162" s="15"/>
      <c r="E162" s="15"/>
      <c r="F162" s="15"/>
      <c r="G162" s="15"/>
      <c r="H162" s="15"/>
      <c r="I162" s="23"/>
      <c r="J162" s="21"/>
      <c r="K162" s="21"/>
      <c r="L162" s="22"/>
      <c r="M162" s="19"/>
      <c r="N162" s="14"/>
      <c r="O162" s="14"/>
      <c r="P162" s="20"/>
      <c r="Q162" s="19"/>
      <c r="R162" s="31"/>
      <c r="S162" s="32"/>
      <c r="T162" s="33"/>
      <c r="U162" s="33"/>
      <c r="V162" s="31"/>
      <c r="W162" s="32"/>
      <c r="X162" s="23"/>
      <c r="Y162" s="21"/>
      <c r="Z162" s="21"/>
      <c r="AA162" s="22"/>
    </row>
    <row r="163" spans="1:27" s="18" customFormat="1" x14ac:dyDescent="0.3">
      <c r="A163" s="88"/>
      <c r="B163" s="93"/>
      <c r="C163" s="93"/>
      <c r="D163" s="15"/>
      <c r="E163" s="15"/>
      <c r="F163" s="15"/>
      <c r="G163" s="15"/>
      <c r="H163" s="15"/>
      <c r="I163" s="23"/>
      <c r="J163" s="21"/>
      <c r="K163" s="21"/>
      <c r="L163" s="22"/>
      <c r="M163" s="16"/>
      <c r="N163" s="15"/>
      <c r="O163" s="15"/>
      <c r="P163" s="17"/>
      <c r="Q163" s="16"/>
      <c r="R163" s="31"/>
      <c r="S163" s="32"/>
      <c r="T163" s="33"/>
      <c r="U163" s="33"/>
      <c r="V163" s="31"/>
      <c r="W163" s="32"/>
      <c r="X163" s="23"/>
      <c r="Y163" s="21"/>
      <c r="Z163" s="21"/>
      <c r="AA163" s="22"/>
    </row>
    <row r="164" spans="1:27" s="18" customFormat="1" x14ac:dyDescent="0.3">
      <c r="A164" s="88"/>
      <c r="B164" s="93"/>
      <c r="C164" s="93"/>
      <c r="D164" s="14"/>
      <c r="E164" s="14"/>
      <c r="F164" s="14"/>
      <c r="G164" s="14"/>
      <c r="H164" s="14"/>
      <c r="I164" s="23"/>
      <c r="J164" s="21"/>
      <c r="K164" s="21"/>
      <c r="L164" s="22"/>
      <c r="M164" s="19"/>
      <c r="N164" s="14"/>
      <c r="O164" s="14"/>
      <c r="P164" s="20"/>
      <c r="Q164" s="19"/>
      <c r="R164" s="31"/>
      <c r="S164" s="32"/>
      <c r="T164" s="33"/>
      <c r="U164" s="33"/>
      <c r="V164" s="31"/>
      <c r="W164" s="32"/>
      <c r="X164" s="23"/>
      <c r="Y164" s="21"/>
      <c r="Z164" s="21"/>
      <c r="AA164" s="22"/>
    </row>
    <row r="165" spans="1:27" s="18" customFormat="1" x14ac:dyDescent="0.3">
      <c r="A165" s="88"/>
      <c r="B165" s="93"/>
      <c r="C165" s="93"/>
      <c r="D165" s="15"/>
      <c r="E165" s="15"/>
      <c r="F165" s="15"/>
      <c r="G165" s="15"/>
      <c r="H165" s="15"/>
      <c r="I165" s="23"/>
      <c r="J165" s="21"/>
      <c r="K165" s="21"/>
      <c r="L165" s="22"/>
      <c r="M165" s="16"/>
      <c r="N165" s="15"/>
      <c r="O165" s="15"/>
      <c r="P165" s="17"/>
      <c r="Q165" s="16"/>
      <c r="R165" s="31"/>
      <c r="S165" s="32"/>
      <c r="T165" s="33"/>
      <c r="U165" s="33"/>
      <c r="V165" s="31"/>
      <c r="W165" s="32"/>
      <c r="X165" s="23"/>
      <c r="Y165" s="21"/>
      <c r="Z165" s="21"/>
      <c r="AA165" s="22"/>
    </row>
    <row r="166" spans="1:27" s="18" customFormat="1" x14ac:dyDescent="0.3">
      <c r="A166" s="88"/>
      <c r="B166" s="93"/>
      <c r="C166" s="93"/>
      <c r="D166" s="15"/>
      <c r="E166" s="15"/>
      <c r="F166" s="15"/>
      <c r="G166" s="15"/>
      <c r="H166" s="15"/>
      <c r="I166" s="23"/>
      <c r="J166" s="21"/>
      <c r="K166" s="21"/>
      <c r="L166" s="22"/>
      <c r="M166" s="19"/>
      <c r="N166" s="14"/>
      <c r="O166" s="14"/>
      <c r="P166" s="20"/>
      <c r="Q166" s="19"/>
      <c r="R166" s="31"/>
      <c r="S166" s="32"/>
      <c r="T166" s="33"/>
      <c r="U166" s="33"/>
      <c r="V166" s="31"/>
      <c r="W166" s="32"/>
      <c r="X166" s="23"/>
      <c r="Y166" s="21"/>
      <c r="Z166" s="21"/>
      <c r="AA166" s="22"/>
    </row>
    <row r="167" spans="1:27" s="18" customFormat="1" x14ac:dyDescent="0.3">
      <c r="A167" s="88"/>
      <c r="B167" s="93"/>
      <c r="C167" s="93"/>
      <c r="D167" s="14"/>
      <c r="E167" s="14"/>
      <c r="F167" s="14"/>
      <c r="G167" s="14"/>
      <c r="H167" s="14"/>
      <c r="I167" s="23"/>
      <c r="J167" s="21"/>
      <c r="K167" s="21"/>
      <c r="L167" s="22"/>
      <c r="M167" s="16"/>
      <c r="N167" s="15"/>
      <c r="O167" s="15"/>
      <c r="P167" s="17"/>
      <c r="Q167" s="16"/>
      <c r="R167" s="31"/>
      <c r="S167" s="32"/>
      <c r="T167" s="33"/>
      <c r="U167" s="33"/>
      <c r="V167" s="31"/>
      <c r="W167" s="32"/>
      <c r="X167" s="23"/>
      <c r="Y167" s="21"/>
      <c r="Z167" s="21"/>
      <c r="AA167" s="22"/>
    </row>
    <row r="168" spans="1:27" s="18" customFormat="1" x14ac:dyDescent="0.3">
      <c r="A168" s="88"/>
      <c r="B168" s="93"/>
      <c r="C168" s="93"/>
      <c r="D168" s="15"/>
      <c r="E168" s="15"/>
      <c r="F168" s="15"/>
      <c r="G168" s="15"/>
      <c r="H168" s="15"/>
      <c r="I168" s="23"/>
      <c r="J168" s="21"/>
      <c r="K168" s="21"/>
      <c r="L168" s="22"/>
      <c r="M168" s="19"/>
      <c r="N168" s="14"/>
      <c r="O168" s="14"/>
      <c r="P168" s="20"/>
      <c r="Q168" s="19"/>
      <c r="R168" s="31"/>
      <c r="S168" s="32"/>
      <c r="T168" s="33"/>
      <c r="U168" s="33"/>
      <c r="V168" s="31"/>
      <c r="W168" s="32"/>
      <c r="X168" s="23"/>
      <c r="Y168" s="21"/>
      <c r="Z168" s="21"/>
      <c r="AA168" s="22"/>
    </row>
    <row r="169" spans="1:27" s="18" customFormat="1" x14ac:dyDescent="0.3">
      <c r="A169" s="88"/>
      <c r="B169" s="93"/>
      <c r="C169" s="93"/>
      <c r="D169" s="15"/>
      <c r="E169" s="15"/>
      <c r="F169" s="15"/>
      <c r="G169" s="15"/>
      <c r="H169" s="15"/>
      <c r="I169" s="23"/>
      <c r="J169" s="21"/>
      <c r="K169" s="21"/>
      <c r="L169" s="22"/>
      <c r="M169" s="16"/>
      <c r="N169" s="15"/>
      <c r="O169" s="15"/>
      <c r="P169" s="17"/>
      <c r="Q169" s="16"/>
      <c r="R169" s="31"/>
      <c r="S169" s="32"/>
      <c r="T169" s="33"/>
      <c r="U169" s="33"/>
      <c r="V169" s="31"/>
      <c r="W169" s="32"/>
      <c r="X169" s="23"/>
      <c r="Y169" s="21"/>
      <c r="Z169" s="21"/>
      <c r="AA169" s="22"/>
    </row>
    <row r="170" spans="1:27" s="18" customFormat="1" x14ac:dyDescent="0.3">
      <c r="A170" s="88"/>
      <c r="B170" s="93"/>
      <c r="C170" s="93"/>
      <c r="D170" s="14"/>
      <c r="E170" s="14"/>
      <c r="F170" s="14"/>
      <c r="G170" s="14"/>
      <c r="H170" s="14"/>
      <c r="I170" s="23"/>
      <c r="J170" s="21"/>
      <c r="K170" s="21"/>
      <c r="L170" s="22"/>
      <c r="M170" s="19"/>
      <c r="N170" s="14"/>
      <c r="O170" s="14"/>
      <c r="P170" s="20"/>
      <c r="Q170" s="19"/>
      <c r="R170" s="31"/>
      <c r="S170" s="32"/>
      <c r="T170" s="33"/>
      <c r="U170" s="33"/>
      <c r="V170" s="31"/>
      <c r="W170" s="32"/>
      <c r="X170" s="23"/>
      <c r="Y170" s="21"/>
      <c r="Z170" s="21"/>
      <c r="AA170" s="22"/>
    </row>
    <row r="171" spans="1:27" s="18" customFormat="1" x14ac:dyDescent="0.3">
      <c r="A171" s="88"/>
      <c r="B171" s="93"/>
      <c r="C171" s="93"/>
      <c r="D171" s="15"/>
      <c r="E171" s="15"/>
      <c r="F171" s="15"/>
      <c r="G171" s="15"/>
      <c r="H171" s="15"/>
      <c r="I171" s="23"/>
      <c r="J171" s="21"/>
      <c r="K171" s="21"/>
      <c r="L171" s="22"/>
      <c r="M171" s="16"/>
      <c r="N171" s="15"/>
      <c r="O171" s="15"/>
      <c r="P171" s="17"/>
      <c r="Q171" s="16"/>
      <c r="R171" s="31"/>
      <c r="S171" s="32"/>
      <c r="T171" s="33"/>
      <c r="U171" s="33"/>
      <c r="V171" s="31"/>
      <c r="W171" s="32"/>
      <c r="X171" s="23"/>
      <c r="Y171" s="21"/>
      <c r="Z171" s="21"/>
      <c r="AA171" s="22"/>
    </row>
    <row r="172" spans="1:27" s="18" customFormat="1" x14ac:dyDescent="0.3">
      <c r="A172" s="88"/>
      <c r="B172" s="93"/>
      <c r="C172" s="93"/>
      <c r="D172" s="15"/>
      <c r="E172" s="15"/>
      <c r="F172" s="15"/>
      <c r="G172" s="15"/>
      <c r="H172" s="15"/>
      <c r="I172" s="23"/>
      <c r="J172" s="21"/>
      <c r="K172" s="21"/>
      <c r="L172" s="22"/>
      <c r="M172" s="19"/>
      <c r="N172" s="14"/>
      <c r="O172" s="14"/>
      <c r="P172" s="20"/>
      <c r="Q172" s="19"/>
      <c r="R172" s="31"/>
      <c r="S172" s="32"/>
      <c r="T172" s="33"/>
      <c r="U172" s="33"/>
      <c r="V172" s="31"/>
      <c r="W172" s="32"/>
      <c r="X172" s="23"/>
      <c r="Y172" s="21"/>
      <c r="Z172" s="21"/>
      <c r="AA172" s="22"/>
    </row>
    <row r="173" spans="1:27" s="18" customFormat="1" x14ac:dyDescent="0.3">
      <c r="A173" s="88"/>
      <c r="B173" s="93"/>
      <c r="C173" s="93"/>
      <c r="D173" s="14"/>
      <c r="E173" s="14"/>
      <c r="F173" s="14"/>
      <c r="G173" s="14"/>
      <c r="H173" s="14"/>
      <c r="I173" s="23"/>
      <c r="J173" s="21"/>
      <c r="K173" s="21"/>
      <c r="L173" s="22"/>
      <c r="M173" s="16"/>
      <c r="N173" s="15"/>
      <c r="O173" s="15"/>
      <c r="P173" s="17"/>
      <c r="Q173" s="16"/>
      <c r="R173" s="31"/>
      <c r="S173" s="32"/>
      <c r="T173" s="33"/>
      <c r="U173" s="33"/>
      <c r="V173" s="31"/>
      <c r="W173" s="32"/>
      <c r="X173" s="23"/>
      <c r="Y173" s="21"/>
      <c r="Z173" s="21"/>
      <c r="AA173" s="22"/>
    </row>
    <row r="174" spans="1:27" s="18" customFormat="1" x14ac:dyDescent="0.3">
      <c r="A174" s="88"/>
      <c r="B174" s="93"/>
      <c r="C174" s="93"/>
      <c r="D174" s="15"/>
      <c r="E174" s="15"/>
      <c r="F174" s="15"/>
      <c r="G174" s="15"/>
      <c r="H174" s="15"/>
      <c r="I174" s="23"/>
      <c r="J174" s="21"/>
      <c r="K174" s="21"/>
      <c r="L174" s="22"/>
      <c r="M174" s="19"/>
      <c r="N174" s="14"/>
      <c r="O174" s="14"/>
      <c r="P174" s="20"/>
      <c r="Q174" s="19"/>
      <c r="R174" s="31"/>
      <c r="S174" s="32"/>
      <c r="T174" s="33"/>
      <c r="U174" s="33"/>
      <c r="V174" s="31"/>
      <c r="W174" s="32"/>
      <c r="X174" s="23"/>
      <c r="Y174" s="21"/>
      <c r="Z174" s="21"/>
      <c r="AA174" s="22"/>
    </row>
    <row r="175" spans="1:27" s="18" customFormat="1" x14ac:dyDescent="0.3">
      <c r="A175" s="88"/>
      <c r="B175" s="93"/>
      <c r="C175" s="93"/>
      <c r="D175" s="15"/>
      <c r="E175" s="15"/>
      <c r="F175" s="15"/>
      <c r="G175" s="15"/>
      <c r="H175" s="15"/>
      <c r="I175" s="23"/>
      <c r="J175" s="21"/>
      <c r="K175" s="21"/>
      <c r="L175" s="22"/>
      <c r="M175" s="16"/>
      <c r="N175" s="15"/>
      <c r="O175" s="15"/>
      <c r="P175" s="17"/>
      <c r="Q175" s="16"/>
      <c r="R175" s="31"/>
      <c r="S175" s="32"/>
      <c r="T175" s="33"/>
      <c r="U175" s="33"/>
      <c r="V175" s="31"/>
      <c r="W175" s="32"/>
      <c r="X175" s="23"/>
      <c r="Y175" s="21"/>
      <c r="Z175" s="21"/>
      <c r="AA175" s="22"/>
    </row>
    <row r="176" spans="1:27" s="18" customFormat="1" x14ac:dyDescent="0.3">
      <c r="A176" s="88"/>
      <c r="B176" s="93"/>
      <c r="C176" s="93"/>
      <c r="D176" s="14"/>
      <c r="E176" s="14"/>
      <c r="F176" s="14"/>
      <c r="G176" s="14"/>
      <c r="H176" s="14"/>
      <c r="I176" s="23"/>
      <c r="J176" s="21"/>
      <c r="K176" s="21"/>
      <c r="L176" s="22"/>
      <c r="M176" s="19"/>
      <c r="N176" s="14"/>
      <c r="O176" s="14"/>
      <c r="P176" s="20"/>
      <c r="Q176" s="19"/>
      <c r="R176" s="31"/>
      <c r="S176" s="32"/>
      <c r="T176" s="33"/>
      <c r="U176" s="33"/>
      <c r="V176" s="31"/>
      <c r="W176" s="32"/>
      <c r="X176" s="23"/>
      <c r="Y176" s="21"/>
      <c r="Z176" s="21"/>
      <c r="AA176" s="22"/>
    </row>
    <row r="177" spans="1:27" s="18" customFormat="1" x14ac:dyDescent="0.3">
      <c r="A177" s="88"/>
      <c r="B177" s="93"/>
      <c r="C177" s="93"/>
      <c r="D177" s="15"/>
      <c r="E177" s="15"/>
      <c r="F177" s="15"/>
      <c r="G177" s="15"/>
      <c r="H177" s="15"/>
      <c r="I177" s="23"/>
      <c r="J177" s="21"/>
      <c r="K177" s="21"/>
      <c r="L177" s="22"/>
      <c r="M177" s="16"/>
      <c r="N177" s="15"/>
      <c r="O177" s="15"/>
      <c r="P177" s="17"/>
      <c r="Q177" s="16"/>
      <c r="R177" s="31"/>
      <c r="S177" s="32"/>
      <c r="T177" s="33"/>
      <c r="U177" s="33"/>
      <c r="V177" s="31"/>
      <c r="W177" s="32"/>
      <c r="X177" s="23"/>
      <c r="Y177" s="21"/>
      <c r="Z177" s="21"/>
      <c r="AA177" s="22"/>
    </row>
    <row r="178" spans="1:27" s="18" customFormat="1" x14ac:dyDescent="0.3">
      <c r="A178" s="88"/>
      <c r="B178" s="93"/>
      <c r="C178" s="93"/>
      <c r="D178" s="15"/>
      <c r="E178" s="15"/>
      <c r="F178" s="15"/>
      <c r="G178" s="15"/>
      <c r="H178" s="15"/>
      <c r="I178" s="23"/>
      <c r="J178" s="21"/>
      <c r="K178" s="21"/>
      <c r="L178" s="22"/>
      <c r="M178" s="19"/>
      <c r="N178" s="14"/>
      <c r="O178" s="14"/>
      <c r="P178" s="20"/>
      <c r="Q178" s="19"/>
      <c r="R178" s="31"/>
      <c r="S178" s="32"/>
      <c r="T178" s="33"/>
      <c r="U178" s="33"/>
      <c r="V178" s="31"/>
      <c r="W178" s="32"/>
      <c r="X178" s="23"/>
      <c r="Y178" s="21"/>
      <c r="Z178" s="21"/>
      <c r="AA178" s="22"/>
    </row>
    <row r="179" spans="1:27" s="18" customFormat="1" x14ac:dyDescent="0.3">
      <c r="A179" s="88"/>
      <c r="B179" s="93"/>
      <c r="C179" s="93"/>
      <c r="D179" s="14"/>
      <c r="E179" s="14"/>
      <c r="F179" s="14"/>
      <c r="G179" s="14"/>
      <c r="H179" s="14"/>
      <c r="I179" s="23"/>
      <c r="J179" s="21"/>
      <c r="K179" s="21"/>
      <c r="L179" s="22"/>
      <c r="M179" s="33"/>
      <c r="N179" s="31"/>
      <c r="O179" s="31"/>
      <c r="P179" s="32"/>
      <c r="Q179" s="33"/>
      <c r="R179" s="31"/>
      <c r="S179" s="32"/>
      <c r="T179" s="33"/>
      <c r="U179" s="33"/>
      <c r="V179" s="31"/>
      <c r="W179" s="32"/>
      <c r="X179" s="23"/>
      <c r="Y179" s="21"/>
      <c r="Z179" s="21"/>
      <c r="AA179" s="22"/>
    </row>
    <row r="180" spans="1:27" s="18" customFormat="1" x14ac:dyDescent="0.3">
      <c r="A180" s="88"/>
      <c r="B180" s="93"/>
      <c r="C180" s="93"/>
      <c r="D180" s="15"/>
      <c r="E180" s="15"/>
      <c r="F180" s="15"/>
      <c r="G180" s="15"/>
      <c r="H180" s="15"/>
      <c r="I180" s="23"/>
      <c r="J180" s="21"/>
      <c r="K180" s="21"/>
      <c r="L180" s="22"/>
      <c r="M180" s="33"/>
      <c r="N180" s="31"/>
      <c r="O180" s="31"/>
      <c r="P180" s="32"/>
      <c r="Q180" s="33"/>
      <c r="R180" s="31"/>
      <c r="S180" s="32"/>
      <c r="T180" s="33"/>
      <c r="U180" s="33"/>
      <c r="V180" s="31"/>
      <c r="W180" s="32"/>
      <c r="X180" s="23"/>
      <c r="Y180" s="21"/>
      <c r="Z180" s="21"/>
      <c r="AA180" s="22"/>
    </row>
    <row r="181" spans="1:27" s="18" customFormat="1" x14ac:dyDescent="0.3">
      <c r="A181" s="88"/>
      <c r="B181" s="93"/>
      <c r="C181" s="93"/>
      <c r="D181" s="15"/>
      <c r="E181" s="15"/>
      <c r="F181" s="15"/>
      <c r="G181" s="15"/>
      <c r="H181" s="15"/>
      <c r="I181" s="23"/>
      <c r="J181" s="21"/>
      <c r="K181" s="21"/>
      <c r="L181" s="22"/>
      <c r="M181" s="33"/>
      <c r="N181" s="31"/>
      <c r="O181" s="31"/>
      <c r="P181" s="32"/>
      <c r="Q181" s="33"/>
      <c r="R181" s="31"/>
      <c r="S181" s="32"/>
      <c r="T181" s="33"/>
      <c r="U181" s="33"/>
      <c r="V181" s="31"/>
      <c r="W181" s="32"/>
      <c r="X181" s="23"/>
      <c r="Y181" s="21"/>
      <c r="Z181" s="21"/>
      <c r="AA181" s="22"/>
    </row>
    <row r="182" spans="1:27" s="18" customFormat="1" x14ac:dyDescent="0.3">
      <c r="A182" s="88"/>
      <c r="B182" s="93"/>
      <c r="C182" s="93"/>
      <c r="D182" s="14"/>
      <c r="E182" s="14"/>
      <c r="F182" s="14"/>
      <c r="G182" s="14"/>
      <c r="H182" s="14"/>
      <c r="I182" s="23"/>
      <c r="J182" s="21"/>
      <c r="K182" s="21"/>
      <c r="L182" s="22"/>
      <c r="M182" s="33"/>
      <c r="N182" s="31"/>
      <c r="O182" s="31"/>
      <c r="P182" s="32"/>
      <c r="Q182" s="33"/>
      <c r="R182" s="31"/>
      <c r="S182" s="32"/>
      <c r="T182" s="33"/>
      <c r="U182" s="33"/>
      <c r="V182" s="31"/>
      <c r="W182" s="32"/>
      <c r="X182" s="23"/>
      <c r="Y182" s="21"/>
      <c r="Z182" s="21"/>
      <c r="AA182" s="22"/>
    </row>
    <row r="183" spans="1:27" s="18" customFormat="1" x14ac:dyDescent="0.3">
      <c r="A183" s="88"/>
      <c r="B183" s="93"/>
      <c r="C183" s="93"/>
      <c r="D183" s="15"/>
      <c r="E183" s="15"/>
      <c r="F183" s="15"/>
      <c r="G183" s="15"/>
      <c r="H183" s="15"/>
      <c r="I183" s="23"/>
      <c r="J183" s="21"/>
      <c r="K183" s="21"/>
      <c r="L183" s="22"/>
      <c r="M183" s="33"/>
      <c r="N183" s="31"/>
      <c r="O183" s="31"/>
      <c r="P183" s="32"/>
      <c r="Q183" s="33"/>
      <c r="R183" s="31"/>
      <c r="S183" s="32"/>
      <c r="T183" s="33"/>
      <c r="U183" s="33"/>
      <c r="V183" s="31"/>
      <c r="W183" s="32"/>
      <c r="X183" s="23"/>
      <c r="Y183" s="21"/>
      <c r="Z183" s="21"/>
      <c r="AA183" s="22"/>
    </row>
    <row r="184" spans="1:27" s="18" customFormat="1" x14ac:dyDescent="0.3">
      <c r="A184" s="88"/>
      <c r="B184" s="93"/>
      <c r="C184" s="93"/>
      <c r="D184" s="15"/>
      <c r="E184" s="15"/>
      <c r="F184" s="15"/>
      <c r="G184" s="15"/>
      <c r="H184" s="15"/>
      <c r="I184" s="23"/>
      <c r="J184" s="21"/>
      <c r="K184" s="21"/>
      <c r="L184" s="22"/>
      <c r="M184" s="33"/>
      <c r="N184" s="31"/>
      <c r="O184" s="31"/>
      <c r="P184" s="32"/>
      <c r="Q184" s="33"/>
      <c r="R184" s="31"/>
      <c r="S184" s="32"/>
      <c r="T184" s="33"/>
      <c r="U184" s="33"/>
      <c r="V184" s="31"/>
      <c r="W184" s="32"/>
      <c r="X184" s="23"/>
      <c r="Y184" s="21"/>
      <c r="Z184" s="21"/>
      <c r="AA184" s="22"/>
    </row>
    <row r="185" spans="1:27" s="18" customFormat="1" x14ac:dyDescent="0.3">
      <c r="A185" s="88"/>
      <c r="B185" s="93"/>
      <c r="C185" s="93"/>
      <c r="D185" s="14"/>
      <c r="E185" s="14"/>
      <c r="F185" s="14"/>
      <c r="G185" s="14"/>
      <c r="H185" s="14"/>
      <c r="I185" s="23"/>
      <c r="J185" s="21"/>
      <c r="K185" s="21"/>
      <c r="L185" s="22"/>
      <c r="M185" s="33"/>
      <c r="N185" s="31"/>
      <c r="O185" s="31"/>
      <c r="P185" s="32"/>
      <c r="Q185" s="33"/>
      <c r="R185" s="31"/>
      <c r="S185" s="32"/>
      <c r="T185" s="33"/>
      <c r="U185" s="33"/>
      <c r="V185" s="31"/>
      <c r="W185" s="32"/>
      <c r="X185" s="23"/>
      <c r="Y185" s="21"/>
      <c r="Z185" s="21"/>
      <c r="AA185" s="22"/>
    </row>
    <row r="186" spans="1:27" s="18" customFormat="1" x14ac:dyDescent="0.3">
      <c r="A186" s="88"/>
      <c r="B186" s="93"/>
      <c r="C186" s="93"/>
      <c r="D186" s="15"/>
      <c r="E186" s="15"/>
      <c r="F186" s="15"/>
      <c r="G186" s="15"/>
      <c r="H186" s="15"/>
      <c r="I186" s="23"/>
      <c r="J186" s="21"/>
      <c r="K186" s="21"/>
      <c r="L186" s="22"/>
      <c r="M186" s="33"/>
      <c r="N186" s="31"/>
      <c r="O186" s="31"/>
      <c r="P186" s="32"/>
      <c r="Q186" s="33"/>
      <c r="R186" s="31"/>
      <c r="S186" s="32"/>
      <c r="T186" s="33"/>
      <c r="U186" s="33"/>
      <c r="V186" s="31"/>
      <c r="W186" s="32"/>
      <c r="X186" s="23"/>
      <c r="Y186" s="21"/>
      <c r="Z186" s="21"/>
      <c r="AA186" s="22"/>
    </row>
    <row r="187" spans="1:27" s="18" customFormat="1" x14ac:dyDescent="0.3">
      <c r="A187" s="88"/>
      <c r="B187" s="93"/>
      <c r="C187" s="93"/>
      <c r="D187" s="15"/>
      <c r="E187" s="15"/>
      <c r="F187" s="15"/>
      <c r="G187" s="15"/>
      <c r="H187" s="15"/>
      <c r="I187" s="23"/>
      <c r="J187" s="21"/>
      <c r="K187" s="21"/>
      <c r="L187" s="22"/>
      <c r="M187" s="33"/>
      <c r="N187" s="31"/>
      <c r="O187" s="31"/>
      <c r="P187" s="32"/>
      <c r="Q187" s="33"/>
      <c r="R187" s="31"/>
      <c r="S187" s="32"/>
      <c r="T187" s="33"/>
      <c r="U187" s="33"/>
      <c r="V187" s="31"/>
      <c r="W187" s="32"/>
      <c r="X187" s="23"/>
      <c r="Y187" s="21"/>
      <c r="Z187" s="21"/>
      <c r="AA187" s="22"/>
    </row>
    <row r="188" spans="1:27" s="18" customFormat="1" x14ac:dyDescent="0.3">
      <c r="A188" s="88"/>
      <c r="B188" s="93"/>
      <c r="C188" s="93"/>
      <c r="D188" s="14"/>
      <c r="E188" s="14"/>
      <c r="F188" s="14"/>
      <c r="G188" s="14"/>
      <c r="H188" s="14"/>
      <c r="I188" s="23"/>
      <c r="J188" s="21"/>
      <c r="K188" s="21"/>
      <c r="L188" s="22"/>
      <c r="M188" s="33"/>
      <c r="N188" s="31"/>
      <c r="O188" s="31"/>
      <c r="P188" s="32"/>
      <c r="Q188" s="33"/>
      <c r="R188" s="31"/>
      <c r="S188" s="32"/>
      <c r="T188" s="33"/>
      <c r="U188" s="33"/>
      <c r="V188" s="31"/>
      <c r="W188" s="32"/>
      <c r="X188" s="23"/>
      <c r="Y188" s="21"/>
      <c r="Z188" s="21"/>
      <c r="AA188" s="22"/>
    </row>
    <row r="189" spans="1:27" s="18" customFormat="1" x14ac:dyDescent="0.3">
      <c r="A189" s="88"/>
      <c r="B189" s="93"/>
      <c r="C189" s="93"/>
      <c r="D189" s="15"/>
      <c r="E189" s="15"/>
      <c r="F189" s="15"/>
      <c r="G189" s="15"/>
      <c r="H189" s="15"/>
      <c r="I189" s="23"/>
      <c r="J189" s="21"/>
      <c r="K189" s="21"/>
      <c r="L189" s="22"/>
      <c r="M189" s="33"/>
      <c r="N189" s="31"/>
      <c r="O189" s="31"/>
      <c r="P189" s="32"/>
      <c r="Q189" s="33"/>
      <c r="R189" s="31"/>
      <c r="S189" s="32"/>
      <c r="T189" s="33"/>
      <c r="U189" s="33"/>
      <c r="V189" s="31"/>
      <c r="W189" s="32"/>
      <c r="X189" s="23"/>
      <c r="Y189" s="21"/>
      <c r="Z189" s="21"/>
      <c r="AA189" s="22"/>
    </row>
    <row r="190" spans="1:27" s="18" customFormat="1" x14ac:dyDescent="0.3">
      <c r="A190" s="88"/>
      <c r="B190" s="93"/>
      <c r="C190" s="93"/>
      <c r="D190" s="15"/>
      <c r="E190" s="15"/>
      <c r="F190" s="15"/>
      <c r="G190" s="15"/>
      <c r="H190" s="15"/>
      <c r="I190" s="23"/>
      <c r="J190" s="21"/>
      <c r="K190" s="21"/>
      <c r="L190" s="22"/>
      <c r="M190" s="33"/>
      <c r="N190" s="31"/>
      <c r="O190" s="31"/>
      <c r="P190" s="32"/>
      <c r="Q190" s="33"/>
      <c r="R190" s="31"/>
      <c r="S190" s="32"/>
      <c r="T190" s="33"/>
      <c r="U190" s="33"/>
      <c r="V190" s="31"/>
      <c r="W190" s="32"/>
      <c r="X190" s="23"/>
      <c r="Y190" s="21"/>
      <c r="Z190" s="21"/>
      <c r="AA190" s="22"/>
    </row>
    <row r="191" spans="1:27" s="18" customFormat="1" x14ac:dyDescent="0.3">
      <c r="A191" s="88"/>
      <c r="B191" s="93"/>
      <c r="C191" s="93"/>
      <c r="D191" s="14"/>
      <c r="E191" s="14"/>
      <c r="F191" s="14"/>
      <c r="G191" s="14"/>
      <c r="H191" s="14"/>
      <c r="I191" s="23"/>
      <c r="J191" s="21"/>
      <c r="K191" s="21"/>
      <c r="L191" s="22"/>
      <c r="M191" s="33"/>
      <c r="N191" s="31"/>
      <c r="O191" s="31"/>
      <c r="P191" s="32"/>
      <c r="Q191" s="33"/>
      <c r="R191" s="31"/>
      <c r="S191" s="32"/>
      <c r="T191" s="33"/>
      <c r="U191" s="33"/>
      <c r="V191" s="31"/>
      <c r="W191" s="32"/>
      <c r="X191" s="23"/>
      <c r="Y191" s="21"/>
      <c r="Z191" s="21"/>
      <c r="AA191" s="22"/>
    </row>
    <row r="192" spans="1:27" s="18" customFormat="1" x14ac:dyDescent="0.3">
      <c r="A192" s="88"/>
      <c r="B192" s="93"/>
      <c r="C192" s="93"/>
      <c r="D192" s="15"/>
      <c r="E192" s="15"/>
      <c r="F192" s="15"/>
      <c r="G192" s="15"/>
      <c r="H192" s="15"/>
      <c r="I192" s="23"/>
      <c r="J192" s="21"/>
      <c r="K192" s="21"/>
      <c r="L192" s="22"/>
      <c r="M192" s="33"/>
      <c r="N192" s="31"/>
      <c r="O192" s="31"/>
      <c r="P192" s="32"/>
      <c r="Q192" s="33"/>
      <c r="R192" s="31"/>
      <c r="S192" s="32"/>
      <c r="T192" s="33"/>
      <c r="U192" s="33"/>
      <c r="V192" s="31"/>
      <c r="W192" s="32"/>
      <c r="X192" s="23"/>
      <c r="Y192" s="21"/>
      <c r="Z192" s="21"/>
      <c r="AA192" s="22"/>
    </row>
    <row r="193" spans="1:27" s="18" customFormat="1" x14ac:dyDescent="0.3">
      <c r="A193" s="88"/>
      <c r="B193" s="93"/>
      <c r="C193" s="93"/>
      <c r="D193" s="15"/>
      <c r="E193" s="15"/>
      <c r="F193" s="15"/>
      <c r="G193" s="15"/>
      <c r="H193" s="15"/>
      <c r="I193" s="23"/>
      <c r="J193" s="21"/>
      <c r="K193" s="21"/>
      <c r="L193" s="22"/>
      <c r="M193" s="33"/>
      <c r="N193" s="31"/>
      <c r="O193" s="31"/>
      <c r="P193" s="32"/>
      <c r="Q193" s="33"/>
      <c r="R193" s="31"/>
      <c r="S193" s="32"/>
      <c r="T193" s="33"/>
      <c r="U193" s="33"/>
      <c r="V193" s="31"/>
      <c r="W193" s="32"/>
      <c r="X193" s="23"/>
      <c r="Y193" s="21"/>
      <c r="Z193" s="21"/>
      <c r="AA193" s="22"/>
    </row>
    <row r="194" spans="1:27" s="18" customFormat="1" x14ac:dyDescent="0.3">
      <c r="A194" s="88"/>
      <c r="B194" s="93"/>
      <c r="C194" s="93"/>
      <c r="D194" s="14"/>
      <c r="E194" s="14"/>
      <c r="F194" s="14"/>
      <c r="G194" s="14"/>
      <c r="H194" s="14"/>
      <c r="I194" s="23"/>
      <c r="J194" s="21"/>
      <c r="K194" s="21"/>
      <c r="L194" s="22"/>
      <c r="M194" s="33"/>
      <c r="N194" s="31"/>
      <c r="O194" s="31"/>
      <c r="P194" s="32"/>
      <c r="Q194" s="33"/>
      <c r="R194" s="31"/>
      <c r="S194" s="32"/>
      <c r="T194" s="33"/>
      <c r="U194" s="33"/>
      <c r="V194" s="31"/>
      <c r="W194" s="32"/>
      <c r="X194" s="23"/>
      <c r="Y194" s="21"/>
      <c r="Z194" s="21"/>
      <c r="AA194" s="22"/>
    </row>
    <row r="195" spans="1:27" s="18" customFormat="1" x14ac:dyDescent="0.3">
      <c r="A195" s="88"/>
      <c r="B195" s="93"/>
      <c r="C195" s="93"/>
      <c r="D195" s="15"/>
      <c r="E195" s="15"/>
      <c r="F195" s="15"/>
      <c r="G195" s="15"/>
      <c r="H195" s="15"/>
      <c r="I195" s="23"/>
      <c r="J195" s="21"/>
      <c r="K195" s="21"/>
      <c r="L195" s="22"/>
      <c r="M195" s="33"/>
      <c r="N195" s="31"/>
      <c r="O195" s="31"/>
      <c r="P195" s="32"/>
      <c r="Q195" s="33"/>
      <c r="R195" s="31"/>
      <c r="S195" s="32"/>
      <c r="T195" s="33"/>
      <c r="U195" s="33"/>
      <c r="V195" s="31"/>
      <c r="W195" s="32"/>
      <c r="X195" s="23"/>
      <c r="Y195" s="21"/>
      <c r="Z195" s="21"/>
      <c r="AA195" s="22"/>
    </row>
    <row r="196" spans="1:27" s="18" customFormat="1" x14ac:dyDescent="0.3">
      <c r="A196" s="88"/>
      <c r="B196" s="93"/>
      <c r="C196" s="93"/>
      <c r="D196" s="15"/>
      <c r="E196" s="15"/>
      <c r="F196" s="15"/>
      <c r="G196" s="15"/>
      <c r="H196" s="15"/>
      <c r="I196" s="23"/>
      <c r="J196" s="21"/>
      <c r="K196" s="21"/>
      <c r="L196" s="22"/>
      <c r="M196" s="33"/>
      <c r="N196" s="31"/>
      <c r="O196" s="31"/>
      <c r="P196" s="32"/>
      <c r="Q196" s="33"/>
      <c r="R196" s="31"/>
      <c r="S196" s="32"/>
      <c r="T196" s="33"/>
      <c r="U196" s="33"/>
      <c r="V196" s="31"/>
      <c r="W196" s="32"/>
      <c r="X196" s="23"/>
      <c r="Y196" s="21"/>
      <c r="Z196" s="21"/>
      <c r="AA196" s="22"/>
    </row>
    <row r="197" spans="1:27" s="18" customFormat="1" x14ac:dyDescent="0.3">
      <c r="A197" s="88"/>
      <c r="B197" s="93"/>
      <c r="C197" s="93"/>
      <c r="D197" s="14"/>
      <c r="E197" s="14"/>
      <c r="F197" s="14"/>
      <c r="G197" s="14"/>
      <c r="H197" s="14"/>
      <c r="I197" s="23"/>
      <c r="J197" s="21"/>
      <c r="K197" s="21"/>
      <c r="L197" s="22"/>
      <c r="M197" s="33"/>
      <c r="N197" s="31"/>
      <c r="O197" s="31"/>
      <c r="P197" s="32"/>
      <c r="Q197" s="33"/>
      <c r="R197" s="31"/>
      <c r="S197" s="32"/>
      <c r="T197" s="33"/>
      <c r="U197" s="33"/>
      <c r="V197" s="31"/>
      <c r="W197" s="32"/>
      <c r="X197" s="23"/>
      <c r="Y197" s="21"/>
      <c r="Z197" s="21"/>
      <c r="AA197" s="22"/>
    </row>
    <row r="198" spans="1:27" s="18" customFormat="1" x14ac:dyDescent="0.3">
      <c r="A198" s="88"/>
      <c r="B198" s="93"/>
      <c r="C198" s="93"/>
      <c r="D198" s="15"/>
      <c r="E198" s="15"/>
      <c r="F198" s="15"/>
      <c r="G198" s="15"/>
      <c r="H198" s="15"/>
      <c r="I198" s="23"/>
      <c r="J198" s="21"/>
      <c r="K198" s="21"/>
      <c r="L198" s="22"/>
      <c r="M198" s="33"/>
      <c r="N198" s="31"/>
      <c r="O198" s="31"/>
      <c r="P198" s="32"/>
      <c r="Q198" s="33"/>
      <c r="R198" s="31"/>
      <c r="S198" s="32"/>
      <c r="T198" s="33"/>
      <c r="U198" s="33"/>
      <c r="V198" s="31"/>
      <c r="W198" s="32"/>
      <c r="X198" s="23"/>
      <c r="Y198" s="21"/>
      <c r="Z198" s="21"/>
      <c r="AA198" s="22"/>
    </row>
    <row r="199" spans="1:27" s="18" customFormat="1" x14ac:dyDescent="0.3">
      <c r="A199" s="88"/>
      <c r="B199" s="93"/>
      <c r="C199" s="93"/>
      <c r="D199" s="15"/>
      <c r="E199" s="15"/>
      <c r="F199" s="15"/>
      <c r="G199" s="15"/>
      <c r="H199" s="15"/>
      <c r="I199" s="23"/>
      <c r="J199" s="21"/>
      <c r="K199" s="21"/>
      <c r="L199" s="22"/>
      <c r="M199" s="33"/>
      <c r="N199" s="31"/>
      <c r="O199" s="31"/>
      <c r="P199" s="32"/>
      <c r="Q199" s="33"/>
      <c r="R199" s="31"/>
      <c r="S199" s="32"/>
      <c r="T199" s="33"/>
      <c r="U199" s="33"/>
      <c r="V199" s="31"/>
      <c r="W199" s="32"/>
      <c r="X199" s="23"/>
      <c r="Y199" s="21"/>
      <c r="Z199" s="21"/>
      <c r="AA199" s="22"/>
    </row>
    <row r="200" spans="1:27" s="18" customFormat="1" x14ac:dyDescent="0.3">
      <c r="A200" s="88"/>
      <c r="B200" s="93"/>
      <c r="C200" s="93"/>
      <c r="D200" s="14"/>
      <c r="E200" s="14"/>
      <c r="F200" s="14"/>
      <c r="G200" s="14"/>
      <c r="H200" s="14"/>
      <c r="I200" s="23"/>
      <c r="J200" s="21"/>
      <c r="K200" s="21"/>
      <c r="L200" s="22"/>
      <c r="M200" s="33"/>
      <c r="N200" s="31"/>
      <c r="O200" s="31"/>
      <c r="P200" s="32"/>
      <c r="Q200" s="33"/>
      <c r="R200" s="31"/>
      <c r="S200" s="32"/>
      <c r="T200" s="33"/>
      <c r="U200" s="33"/>
      <c r="V200" s="31"/>
      <c r="W200" s="32"/>
      <c r="X200" s="23"/>
      <c r="Y200" s="21"/>
      <c r="Z200" s="21"/>
      <c r="AA200" s="22"/>
    </row>
    <row r="201" spans="1:27" s="18" customFormat="1" x14ac:dyDescent="0.3">
      <c r="A201" s="88"/>
      <c r="B201" s="93"/>
      <c r="C201" s="93"/>
      <c r="D201" s="15"/>
      <c r="E201" s="15"/>
      <c r="F201" s="15"/>
      <c r="G201" s="15"/>
      <c r="H201" s="15"/>
      <c r="I201" s="23"/>
      <c r="J201" s="21"/>
      <c r="K201" s="21"/>
      <c r="L201" s="22"/>
      <c r="M201" s="33"/>
      <c r="N201" s="31"/>
      <c r="O201" s="31"/>
      <c r="P201" s="32"/>
      <c r="Q201" s="33"/>
      <c r="R201" s="31"/>
      <c r="S201" s="32"/>
      <c r="T201" s="33"/>
      <c r="U201" s="33"/>
      <c r="V201" s="31"/>
      <c r="W201" s="32"/>
      <c r="X201" s="23"/>
      <c r="Y201" s="21"/>
      <c r="Z201" s="21"/>
      <c r="AA201" s="22"/>
    </row>
    <row r="202" spans="1:27" s="18" customFormat="1" x14ac:dyDescent="0.3">
      <c r="A202" s="88"/>
      <c r="B202" s="93"/>
      <c r="C202" s="93"/>
      <c r="D202" s="15"/>
      <c r="E202" s="15"/>
      <c r="F202" s="15"/>
      <c r="G202" s="15"/>
      <c r="H202" s="15"/>
      <c r="I202" s="23"/>
      <c r="J202" s="21"/>
      <c r="K202" s="21"/>
      <c r="L202" s="22"/>
      <c r="M202" s="33"/>
      <c r="N202" s="31"/>
      <c r="O202" s="31"/>
      <c r="P202" s="32"/>
      <c r="Q202" s="33"/>
      <c r="R202" s="31"/>
      <c r="S202" s="32"/>
      <c r="T202" s="33"/>
      <c r="U202" s="33"/>
      <c r="V202" s="31"/>
      <c r="W202" s="32"/>
      <c r="X202" s="23"/>
      <c r="Y202" s="21"/>
      <c r="Z202" s="21"/>
      <c r="AA202" s="22"/>
    </row>
    <row r="203" spans="1:27" s="18" customFormat="1" x14ac:dyDescent="0.3">
      <c r="A203" s="88"/>
      <c r="B203" s="93"/>
      <c r="C203" s="93"/>
      <c r="D203" s="14"/>
      <c r="E203" s="14"/>
      <c r="F203" s="14"/>
      <c r="G203" s="14"/>
      <c r="H203" s="14"/>
      <c r="I203" s="23"/>
      <c r="J203" s="21"/>
      <c r="K203" s="21"/>
      <c r="L203" s="22"/>
      <c r="M203" s="33"/>
      <c r="N203" s="31"/>
      <c r="O203" s="31"/>
      <c r="P203" s="32"/>
      <c r="Q203" s="33"/>
      <c r="R203" s="31"/>
      <c r="S203" s="32"/>
      <c r="T203" s="33"/>
      <c r="U203" s="33"/>
      <c r="V203" s="31"/>
      <c r="W203" s="32"/>
      <c r="X203" s="23"/>
      <c r="Y203" s="21"/>
      <c r="Z203" s="21"/>
      <c r="AA203" s="22"/>
    </row>
    <row r="204" spans="1:27" s="18" customFormat="1" x14ac:dyDescent="0.3">
      <c r="A204" s="88"/>
      <c r="B204" s="93"/>
      <c r="C204" s="93"/>
      <c r="D204" s="15"/>
      <c r="E204" s="15"/>
      <c r="F204" s="15"/>
      <c r="G204" s="15"/>
      <c r="H204" s="15"/>
      <c r="I204" s="23"/>
      <c r="J204" s="21"/>
      <c r="K204" s="21"/>
      <c r="L204" s="22"/>
      <c r="M204" s="33"/>
      <c r="N204" s="31"/>
      <c r="O204" s="31"/>
      <c r="P204" s="32"/>
      <c r="Q204" s="33"/>
      <c r="R204" s="31"/>
      <c r="S204" s="32"/>
      <c r="T204" s="33"/>
      <c r="U204" s="33"/>
      <c r="V204" s="31"/>
      <c r="W204" s="32"/>
      <c r="X204" s="23"/>
      <c r="Y204" s="21"/>
      <c r="Z204" s="21"/>
      <c r="AA204" s="22"/>
    </row>
    <row r="205" spans="1:27" s="18" customFormat="1" x14ac:dyDescent="0.3">
      <c r="A205" s="88"/>
      <c r="B205" s="93"/>
      <c r="C205" s="93"/>
      <c r="D205" s="15"/>
      <c r="E205" s="15"/>
      <c r="F205" s="15"/>
      <c r="G205" s="15"/>
      <c r="H205" s="15"/>
      <c r="I205" s="23"/>
      <c r="J205" s="21"/>
      <c r="K205" s="21"/>
      <c r="L205" s="22"/>
      <c r="M205" s="33"/>
      <c r="N205" s="31"/>
      <c r="O205" s="31"/>
      <c r="P205" s="32"/>
      <c r="Q205" s="33"/>
      <c r="R205" s="31"/>
      <c r="S205" s="32"/>
      <c r="T205" s="33"/>
      <c r="U205" s="33"/>
      <c r="V205" s="31"/>
      <c r="W205" s="32"/>
      <c r="X205" s="23"/>
      <c r="Y205" s="21"/>
      <c r="Z205" s="21"/>
      <c r="AA205" s="22"/>
    </row>
    <row r="206" spans="1:27" s="18" customFormat="1" x14ac:dyDescent="0.3">
      <c r="A206" s="88"/>
      <c r="B206" s="93"/>
      <c r="C206" s="93"/>
      <c r="D206" s="14"/>
      <c r="E206" s="14"/>
      <c r="F206" s="14"/>
      <c r="G206" s="14"/>
      <c r="H206" s="14"/>
      <c r="I206" s="23"/>
      <c r="J206" s="21"/>
      <c r="K206" s="21"/>
      <c r="L206" s="22"/>
      <c r="M206" s="33"/>
      <c r="N206" s="31"/>
      <c r="O206" s="31"/>
      <c r="P206" s="32"/>
      <c r="Q206" s="33"/>
      <c r="R206" s="31"/>
      <c r="S206" s="32"/>
      <c r="T206" s="33"/>
      <c r="U206" s="33"/>
      <c r="V206" s="31"/>
      <c r="W206" s="32"/>
      <c r="X206" s="23"/>
      <c r="Y206" s="21"/>
      <c r="Z206" s="21"/>
      <c r="AA206" s="22"/>
    </row>
    <row r="207" spans="1:27" s="18" customFormat="1" x14ac:dyDescent="0.3">
      <c r="A207" s="88"/>
      <c r="B207" s="93"/>
      <c r="C207" s="93"/>
      <c r="D207" s="15"/>
      <c r="E207" s="15"/>
      <c r="F207" s="15"/>
      <c r="G207" s="15"/>
      <c r="H207" s="15"/>
      <c r="I207" s="23"/>
      <c r="J207" s="21"/>
      <c r="K207" s="21"/>
      <c r="L207" s="22"/>
      <c r="M207" s="33"/>
      <c r="N207" s="31"/>
      <c r="O207" s="31"/>
      <c r="P207" s="32"/>
      <c r="Q207" s="33"/>
      <c r="R207" s="31"/>
      <c r="S207" s="32"/>
      <c r="T207" s="33"/>
      <c r="U207" s="33"/>
      <c r="V207" s="31"/>
      <c r="W207" s="32"/>
      <c r="X207" s="23"/>
      <c r="Y207" s="21"/>
      <c r="Z207" s="21"/>
      <c r="AA207" s="22"/>
    </row>
    <row r="208" spans="1:27" s="18" customFormat="1" x14ac:dyDescent="0.3">
      <c r="A208" s="88"/>
      <c r="B208" s="93"/>
      <c r="C208" s="93"/>
      <c r="D208" s="15"/>
      <c r="E208" s="15"/>
      <c r="F208" s="15"/>
      <c r="G208" s="15"/>
      <c r="H208" s="15"/>
      <c r="I208" s="23"/>
      <c r="J208" s="21"/>
      <c r="K208" s="21"/>
      <c r="L208" s="22"/>
      <c r="M208" s="33"/>
      <c r="N208" s="31"/>
      <c r="O208" s="31"/>
      <c r="P208" s="32"/>
      <c r="Q208" s="33"/>
      <c r="R208" s="31"/>
      <c r="S208" s="32"/>
      <c r="T208" s="33"/>
      <c r="U208" s="33"/>
      <c r="V208" s="31"/>
      <c r="W208" s="32"/>
      <c r="X208" s="23"/>
      <c r="Y208" s="21"/>
      <c r="Z208" s="21"/>
      <c r="AA208" s="22"/>
    </row>
    <row r="209" spans="1:27" s="18" customFormat="1" x14ac:dyDescent="0.3">
      <c r="A209" s="88"/>
      <c r="B209" s="93"/>
      <c r="C209" s="93"/>
      <c r="D209" s="14"/>
      <c r="E209" s="14"/>
      <c r="F209" s="14"/>
      <c r="G209" s="14"/>
      <c r="H209" s="14"/>
      <c r="I209" s="23"/>
      <c r="J209" s="21"/>
      <c r="K209" s="21"/>
      <c r="L209" s="22"/>
      <c r="M209" s="33"/>
      <c r="N209" s="31"/>
      <c r="O209" s="31"/>
      <c r="P209" s="32"/>
      <c r="Q209" s="33"/>
      <c r="R209" s="31"/>
      <c r="S209" s="32"/>
      <c r="T209" s="33"/>
      <c r="U209" s="33"/>
      <c r="V209" s="31"/>
      <c r="W209" s="32"/>
      <c r="X209" s="23"/>
      <c r="Y209" s="21"/>
      <c r="Z209" s="21"/>
      <c r="AA209" s="22"/>
    </row>
    <row r="210" spans="1:27" s="18" customFormat="1" x14ac:dyDescent="0.3">
      <c r="A210" s="88"/>
      <c r="B210" s="93"/>
      <c r="C210" s="93"/>
      <c r="D210" s="15"/>
      <c r="E210" s="15"/>
      <c r="F210" s="15"/>
      <c r="G210" s="15"/>
      <c r="H210" s="15"/>
      <c r="I210" s="23"/>
      <c r="J210" s="21"/>
      <c r="K210" s="21"/>
      <c r="L210" s="22"/>
      <c r="M210" s="33"/>
      <c r="N210" s="31"/>
      <c r="O210" s="31"/>
      <c r="P210" s="32"/>
      <c r="Q210" s="33"/>
      <c r="R210" s="31"/>
      <c r="S210" s="32"/>
      <c r="T210" s="33"/>
      <c r="U210" s="33"/>
      <c r="V210" s="31"/>
      <c r="W210" s="32"/>
      <c r="X210" s="23"/>
      <c r="Y210" s="21"/>
      <c r="Z210" s="21"/>
      <c r="AA210" s="22"/>
    </row>
    <row r="211" spans="1:27" s="18" customFormat="1" x14ac:dyDescent="0.3">
      <c r="A211" s="88"/>
      <c r="B211" s="93"/>
      <c r="C211" s="93"/>
      <c r="D211" s="15"/>
      <c r="E211" s="15"/>
      <c r="F211" s="15"/>
      <c r="G211" s="15"/>
      <c r="H211" s="15"/>
      <c r="I211" s="23"/>
      <c r="J211" s="21"/>
      <c r="K211" s="21"/>
      <c r="L211" s="22"/>
      <c r="M211" s="33"/>
      <c r="N211" s="31"/>
      <c r="O211" s="31"/>
      <c r="P211" s="32"/>
      <c r="Q211" s="33"/>
      <c r="R211" s="31"/>
      <c r="S211" s="32"/>
      <c r="T211" s="33"/>
      <c r="U211" s="33"/>
      <c r="V211" s="31"/>
      <c r="W211" s="32"/>
      <c r="X211" s="23"/>
      <c r="Y211" s="21"/>
      <c r="Z211" s="21"/>
      <c r="AA211" s="22"/>
    </row>
    <row r="212" spans="1:27" s="18" customFormat="1" x14ac:dyDescent="0.3">
      <c r="A212" s="88"/>
      <c r="B212" s="93"/>
      <c r="C212" s="93"/>
      <c r="D212" s="14"/>
      <c r="E212" s="14"/>
      <c r="F212" s="14"/>
      <c r="G212" s="14"/>
      <c r="H212" s="14"/>
      <c r="I212" s="23"/>
      <c r="J212" s="21"/>
      <c r="K212" s="21"/>
      <c r="L212" s="22"/>
      <c r="M212" s="33"/>
      <c r="N212" s="31"/>
      <c r="O212" s="31"/>
      <c r="P212" s="32"/>
      <c r="Q212" s="33"/>
      <c r="R212" s="31"/>
      <c r="S212" s="32"/>
      <c r="T212" s="33"/>
      <c r="U212" s="33"/>
      <c r="V212" s="31"/>
      <c r="W212" s="32"/>
      <c r="X212" s="23"/>
      <c r="Y212" s="21"/>
      <c r="Z212" s="21"/>
      <c r="AA212" s="22"/>
    </row>
    <row r="213" spans="1:27" s="18" customFormat="1" x14ac:dyDescent="0.3">
      <c r="A213" s="88"/>
      <c r="B213" s="93"/>
      <c r="C213" s="93"/>
      <c r="D213" s="15"/>
      <c r="E213" s="15"/>
      <c r="F213" s="15"/>
      <c r="G213" s="15"/>
      <c r="H213" s="15"/>
      <c r="I213" s="23"/>
      <c r="J213" s="21"/>
      <c r="K213" s="21"/>
      <c r="L213" s="22"/>
      <c r="M213" s="33"/>
      <c r="N213" s="31"/>
      <c r="O213" s="31"/>
      <c r="P213" s="32"/>
      <c r="Q213" s="33"/>
      <c r="R213" s="31"/>
      <c r="S213" s="32"/>
      <c r="T213" s="33"/>
      <c r="U213" s="33"/>
      <c r="V213" s="31"/>
      <c r="W213" s="32"/>
      <c r="X213" s="23"/>
      <c r="Y213" s="21"/>
      <c r="Z213" s="21"/>
      <c r="AA213" s="22"/>
    </row>
    <row r="214" spans="1:27" s="18" customFormat="1" x14ac:dyDescent="0.3">
      <c r="A214" s="88"/>
      <c r="B214" s="93"/>
      <c r="C214" s="93"/>
      <c r="D214" s="15"/>
      <c r="E214" s="15"/>
      <c r="F214" s="15"/>
      <c r="G214" s="15"/>
      <c r="H214" s="15"/>
      <c r="I214" s="23"/>
      <c r="J214" s="21"/>
      <c r="K214" s="21"/>
      <c r="L214" s="22"/>
      <c r="M214" s="33"/>
      <c r="N214" s="31"/>
      <c r="O214" s="31"/>
      <c r="P214" s="32"/>
      <c r="Q214" s="33"/>
      <c r="R214" s="31"/>
      <c r="S214" s="32"/>
      <c r="T214" s="33"/>
      <c r="U214" s="33"/>
      <c r="V214" s="31"/>
      <c r="W214" s="32"/>
      <c r="X214" s="23"/>
      <c r="Y214" s="21"/>
      <c r="Z214" s="21"/>
      <c r="AA214" s="22"/>
    </row>
    <row r="215" spans="1:27" s="18" customFormat="1" x14ac:dyDescent="0.3">
      <c r="A215" s="88"/>
      <c r="B215" s="93"/>
      <c r="C215" s="93"/>
      <c r="D215" s="14"/>
      <c r="E215" s="14"/>
      <c r="F215" s="14"/>
      <c r="G215" s="14"/>
      <c r="H215" s="14"/>
      <c r="I215" s="23"/>
      <c r="J215" s="21"/>
      <c r="K215" s="21"/>
      <c r="L215" s="22"/>
      <c r="M215" s="33"/>
      <c r="N215" s="31"/>
      <c r="O215" s="31"/>
      <c r="P215" s="32"/>
      <c r="Q215" s="33"/>
      <c r="R215" s="31"/>
      <c r="S215" s="32"/>
      <c r="T215" s="33"/>
      <c r="U215" s="33"/>
      <c r="V215" s="31"/>
      <c r="W215" s="32"/>
      <c r="X215" s="23"/>
      <c r="Y215" s="21"/>
      <c r="Z215" s="21"/>
      <c r="AA215" s="22"/>
    </row>
    <row r="216" spans="1:27" s="18" customFormat="1" x14ac:dyDescent="0.3">
      <c r="A216" s="88"/>
      <c r="B216" s="93"/>
      <c r="C216" s="93"/>
      <c r="D216" s="15"/>
      <c r="E216" s="15"/>
      <c r="F216" s="15"/>
      <c r="G216" s="15"/>
      <c r="H216" s="15"/>
      <c r="I216" s="23"/>
      <c r="J216" s="21"/>
      <c r="K216" s="21"/>
      <c r="L216" s="22"/>
      <c r="M216" s="33"/>
      <c r="N216" s="31"/>
      <c r="O216" s="31"/>
      <c r="P216" s="32"/>
      <c r="Q216" s="33"/>
      <c r="R216" s="31"/>
      <c r="S216" s="32"/>
      <c r="T216" s="33"/>
      <c r="U216" s="33"/>
      <c r="V216" s="31"/>
      <c r="W216" s="32"/>
      <c r="X216" s="23"/>
      <c r="Y216" s="21"/>
      <c r="Z216" s="21"/>
      <c r="AA216" s="22"/>
    </row>
    <row r="217" spans="1:27" s="18" customFormat="1" x14ac:dyDescent="0.3">
      <c r="A217" s="88"/>
      <c r="B217" s="93"/>
      <c r="C217" s="93"/>
      <c r="D217" s="15"/>
      <c r="E217" s="15"/>
      <c r="F217" s="15"/>
      <c r="G217" s="15"/>
      <c r="H217" s="15"/>
      <c r="I217" s="23"/>
      <c r="J217" s="21"/>
      <c r="K217" s="21"/>
      <c r="L217" s="22"/>
      <c r="M217" s="33"/>
      <c r="N217" s="31"/>
      <c r="O217" s="31"/>
      <c r="P217" s="32"/>
      <c r="Q217" s="33"/>
      <c r="R217" s="31"/>
      <c r="S217" s="32"/>
      <c r="T217" s="33"/>
      <c r="U217" s="33"/>
      <c r="V217" s="31"/>
      <c r="W217" s="32"/>
      <c r="X217" s="23"/>
      <c r="Y217" s="21"/>
      <c r="Z217" s="21"/>
      <c r="AA217" s="22"/>
    </row>
    <row r="218" spans="1:27" s="18" customFormat="1" x14ac:dyDescent="0.3">
      <c r="A218" s="88"/>
      <c r="B218" s="93"/>
      <c r="C218" s="93"/>
      <c r="D218" s="14"/>
      <c r="E218" s="14"/>
      <c r="F218" s="14"/>
      <c r="G218" s="14"/>
      <c r="H218" s="14"/>
      <c r="I218" s="23"/>
      <c r="J218" s="21"/>
      <c r="K218" s="21"/>
      <c r="L218" s="22"/>
      <c r="M218" s="33"/>
      <c r="N218" s="31"/>
      <c r="O218" s="31"/>
      <c r="P218" s="32"/>
      <c r="Q218" s="33"/>
      <c r="R218" s="31"/>
      <c r="S218" s="32"/>
      <c r="T218" s="33"/>
      <c r="U218" s="33"/>
      <c r="V218" s="31"/>
      <c r="W218" s="32"/>
      <c r="X218" s="23"/>
      <c r="Y218" s="21"/>
      <c r="Z218" s="21"/>
      <c r="AA218" s="22"/>
    </row>
    <row r="219" spans="1:27" s="18" customFormat="1" x14ac:dyDescent="0.3">
      <c r="A219" s="88"/>
      <c r="B219" s="93"/>
      <c r="C219" s="93"/>
      <c r="D219" s="15"/>
      <c r="E219" s="15"/>
      <c r="F219" s="15"/>
      <c r="G219" s="15"/>
      <c r="H219" s="15"/>
      <c r="I219" s="23"/>
      <c r="J219" s="21"/>
      <c r="K219" s="21"/>
      <c r="L219" s="22"/>
      <c r="M219" s="33"/>
      <c r="N219" s="31"/>
      <c r="O219" s="31"/>
      <c r="P219" s="32"/>
      <c r="Q219" s="33"/>
      <c r="R219" s="31"/>
      <c r="S219" s="32"/>
      <c r="T219" s="33"/>
      <c r="U219" s="33"/>
      <c r="V219" s="31"/>
      <c r="W219" s="32"/>
      <c r="X219" s="23"/>
      <c r="Y219" s="21"/>
      <c r="Z219" s="21"/>
      <c r="AA219" s="22"/>
    </row>
    <row r="220" spans="1:27" s="18" customFormat="1" x14ac:dyDescent="0.3">
      <c r="A220" s="88"/>
      <c r="B220" s="93"/>
      <c r="C220" s="93"/>
      <c r="D220" s="15"/>
      <c r="E220" s="15"/>
      <c r="F220" s="15"/>
      <c r="G220" s="15"/>
      <c r="H220" s="15"/>
      <c r="I220" s="23"/>
      <c r="J220" s="21"/>
      <c r="K220" s="21"/>
      <c r="L220" s="22"/>
      <c r="M220" s="33"/>
      <c r="N220" s="31"/>
      <c r="O220" s="31"/>
      <c r="P220" s="32"/>
      <c r="Q220" s="33"/>
      <c r="R220" s="31"/>
      <c r="S220" s="32"/>
      <c r="T220" s="33"/>
      <c r="U220" s="33"/>
      <c r="V220" s="31"/>
      <c r="W220" s="32"/>
      <c r="X220" s="23"/>
      <c r="Y220" s="21"/>
      <c r="Z220" s="21"/>
      <c r="AA220" s="22"/>
    </row>
    <row r="221" spans="1:27" s="18" customFormat="1" x14ac:dyDescent="0.3">
      <c r="A221" s="88"/>
      <c r="B221" s="93"/>
      <c r="C221" s="93"/>
      <c r="D221" s="14"/>
      <c r="E221" s="14"/>
      <c r="F221" s="14"/>
      <c r="G221" s="14"/>
      <c r="H221" s="14"/>
      <c r="I221" s="23"/>
      <c r="J221" s="21"/>
      <c r="K221" s="21"/>
      <c r="L221" s="22"/>
      <c r="M221" s="33"/>
      <c r="N221" s="31"/>
      <c r="O221" s="31"/>
      <c r="P221" s="32"/>
      <c r="Q221" s="33"/>
      <c r="R221" s="31"/>
      <c r="S221" s="32"/>
      <c r="T221" s="33"/>
      <c r="U221" s="33"/>
      <c r="V221" s="31"/>
      <c r="W221" s="32"/>
      <c r="X221" s="23"/>
      <c r="Y221" s="21"/>
      <c r="Z221" s="21"/>
      <c r="AA221" s="22"/>
    </row>
    <row r="222" spans="1:27" s="18" customFormat="1" x14ac:dyDescent="0.3">
      <c r="A222" s="88"/>
      <c r="B222" s="93"/>
      <c r="C222" s="93"/>
      <c r="D222" s="15"/>
      <c r="E222" s="15"/>
      <c r="F222" s="15"/>
      <c r="G222" s="15"/>
      <c r="H222" s="15"/>
      <c r="I222" s="23"/>
      <c r="J222" s="21"/>
      <c r="K222" s="21"/>
      <c r="L222" s="22"/>
      <c r="M222" s="33"/>
      <c r="N222" s="31"/>
      <c r="O222" s="31"/>
      <c r="P222" s="32"/>
      <c r="Q222" s="33"/>
      <c r="R222" s="31"/>
      <c r="S222" s="32"/>
      <c r="T222" s="33"/>
      <c r="U222" s="33"/>
      <c r="V222" s="31"/>
      <c r="W222" s="32"/>
      <c r="X222" s="23"/>
      <c r="Y222" s="21"/>
      <c r="Z222" s="21"/>
      <c r="AA222" s="22"/>
    </row>
    <row r="223" spans="1:27" s="18" customFormat="1" x14ac:dyDescent="0.3">
      <c r="A223" s="88"/>
      <c r="B223" s="93"/>
      <c r="C223" s="93"/>
      <c r="D223" s="15"/>
      <c r="E223" s="15"/>
      <c r="F223" s="15"/>
      <c r="G223" s="15"/>
      <c r="H223" s="15"/>
      <c r="I223" s="23"/>
      <c r="J223" s="21"/>
      <c r="K223" s="21"/>
      <c r="L223" s="22"/>
      <c r="M223" s="33"/>
      <c r="N223" s="31"/>
      <c r="O223" s="31"/>
      <c r="P223" s="32"/>
      <c r="Q223" s="33"/>
      <c r="R223" s="31"/>
      <c r="S223" s="32"/>
      <c r="T223" s="33"/>
      <c r="U223" s="33"/>
      <c r="V223" s="31"/>
      <c r="W223" s="32"/>
      <c r="X223" s="23"/>
      <c r="Y223" s="21"/>
      <c r="Z223" s="21"/>
      <c r="AA223" s="22"/>
    </row>
    <row r="224" spans="1:27" s="18" customFormat="1" x14ac:dyDescent="0.3">
      <c r="A224" s="88"/>
      <c r="B224" s="93"/>
      <c r="C224" s="93"/>
      <c r="D224" s="14"/>
      <c r="E224" s="14"/>
      <c r="F224" s="14"/>
      <c r="G224" s="14"/>
      <c r="H224" s="14"/>
      <c r="I224" s="23"/>
      <c r="J224" s="21"/>
      <c r="K224" s="21"/>
      <c r="L224" s="22"/>
      <c r="M224" s="33"/>
      <c r="N224" s="31"/>
      <c r="O224" s="31"/>
      <c r="P224" s="32"/>
      <c r="Q224" s="33"/>
      <c r="R224" s="31"/>
      <c r="S224" s="32"/>
      <c r="T224" s="33"/>
      <c r="U224" s="33"/>
      <c r="V224" s="31"/>
      <c r="W224" s="32"/>
      <c r="X224" s="23"/>
      <c r="Y224" s="21"/>
      <c r="Z224" s="21"/>
      <c r="AA224" s="22"/>
    </row>
    <row r="225" spans="1:27" s="18" customFormat="1" x14ac:dyDescent="0.3">
      <c r="A225" s="88"/>
      <c r="B225" s="93"/>
      <c r="C225" s="93"/>
      <c r="D225" s="15"/>
      <c r="E225" s="15"/>
      <c r="F225" s="15"/>
      <c r="G225" s="15"/>
      <c r="H225" s="15"/>
      <c r="I225" s="23"/>
      <c r="J225" s="21"/>
      <c r="K225" s="21"/>
      <c r="L225" s="22"/>
      <c r="M225" s="33"/>
      <c r="N225" s="31"/>
      <c r="O225" s="31"/>
      <c r="P225" s="32"/>
      <c r="Q225" s="33"/>
      <c r="R225" s="31"/>
      <c r="S225" s="32"/>
      <c r="T225" s="33"/>
      <c r="U225" s="33"/>
      <c r="V225" s="31"/>
      <c r="W225" s="32"/>
      <c r="X225" s="23"/>
      <c r="Y225" s="21"/>
      <c r="Z225" s="21"/>
      <c r="AA225" s="22"/>
    </row>
    <row r="226" spans="1:27" s="18" customFormat="1" x14ac:dyDescent="0.3">
      <c r="A226" s="88"/>
      <c r="B226" s="93"/>
      <c r="C226" s="93"/>
      <c r="D226" s="15"/>
      <c r="E226" s="15"/>
      <c r="F226" s="15"/>
      <c r="G226" s="15"/>
      <c r="H226" s="15"/>
      <c r="I226" s="23"/>
      <c r="J226" s="21"/>
      <c r="K226" s="21"/>
      <c r="L226" s="22"/>
      <c r="M226" s="33"/>
      <c r="N226" s="31"/>
      <c r="O226" s="31"/>
      <c r="P226" s="32"/>
      <c r="Q226" s="33"/>
      <c r="R226" s="31"/>
      <c r="S226" s="32"/>
      <c r="T226" s="33"/>
      <c r="U226" s="33"/>
      <c r="V226" s="31"/>
      <c r="W226" s="32"/>
      <c r="X226" s="23"/>
      <c r="Y226" s="21"/>
      <c r="Z226" s="21"/>
      <c r="AA226" s="22"/>
    </row>
    <row r="227" spans="1:27" s="18" customFormat="1" x14ac:dyDescent="0.3">
      <c r="A227" s="88"/>
      <c r="B227" s="93"/>
      <c r="C227" s="93"/>
      <c r="D227" s="14"/>
      <c r="E227" s="14"/>
      <c r="F227" s="14"/>
      <c r="G227" s="14"/>
      <c r="H227" s="14"/>
      <c r="I227" s="23"/>
      <c r="J227" s="21"/>
      <c r="K227" s="21"/>
      <c r="L227" s="22"/>
      <c r="M227" s="33"/>
      <c r="N227" s="31"/>
      <c r="O227" s="31"/>
      <c r="P227" s="32"/>
      <c r="Q227" s="33"/>
      <c r="R227" s="31"/>
      <c r="S227" s="32"/>
      <c r="T227" s="33"/>
      <c r="U227" s="33"/>
      <c r="V227" s="31"/>
      <c r="W227" s="32"/>
      <c r="X227" s="23"/>
      <c r="Y227" s="21"/>
      <c r="Z227" s="21"/>
      <c r="AA227" s="22"/>
    </row>
    <row r="228" spans="1:27" s="18" customFormat="1" x14ac:dyDescent="0.3">
      <c r="A228" s="88"/>
      <c r="B228" s="93"/>
      <c r="C228" s="93"/>
      <c r="D228" s="15"/>
      <c r="E228" s="15"/>
      <c r="F228" s="15"/>
      <c r="G228" s="15"/>
      <c r="H228" s="15"/>
      <c r="I228" s="23"/>
      <c r="J228" s="21"/>
      <c r="K228" s="21"/>
      <c r="L228" s="22"/>
      <c r="M228" s="33"/>
      <c r="N228" s="31"/>
      <c r="O228" s="31"/>
      <c r="P228" s="32"/>
      <c r="Q228" s="33"/>
      <c r="R228" s="31"/>
      <c r="S228" s="32"/>
      <c r="T228" s="33"/>
      <c r="U228" s="33"/>
      <c r="V228" s="31"/>
      <c r="W228" s="32"/>
      <c r="X228" s="23"/>
      <c r="Y228" s="21"/>
      <c r="Z228" s="21"/>
      <c r="AA228" s="22"/>
    </row>
    <row r="229" spans="1:27" s="18" customFormat="1" x14ac:dyDescent="0.3">
      <c r="A229" s="88"/>
      <c r="B229" s="93"/>
      <c r="C229" s="93"/>
      <c r="D229" s="15"/>
      <c r="E229" s="15"/>
      <c r="F229" s="15"/>
      <c r="G229" s="15"/>
      <c r="H229" s="15"/>
      <c r="I229" s="23"/>
      <c r="J229" s="21"/>
      <c r="K229" s="21"/>
      <c r="L229" s="22"/>
      <c r="M229" s="33"/>
      <c r="N229" s="31"/>
      <c r="O229" s="31"/>
      <c r="P229" s="32"/>
      <c r="Q229" s="33"/>
      <c r="R229" s="31"/>
      <c r="S229" s="32"/>
      <c r="T229" s="33"/>
      <c r="U229" s="33"/>
      <c r="V229" s="31"/>
      <c r="W229" s="32"/>
      <c r="X229" s="23"/>
      <c r="Y229" s="21"/>
      <c r="Z229" s="21"/>
      <c r="AA229" s="22"/>
    </row>
    <row r="230" spans="1:27" s="18" customFormat="1" x14ac:dyDescent="0.3">
      <c r="A230" s="88"/>
      <c r="B230" s="93"/>
      <c r="C230" s="93"/>
      <c r="D230" s="14"/>
      <c r="E230" s="14"/>
      <c r="F230" s="14"/>
      <c r="G230" s="14"/>
      <c r="H230" s="14"/>
      <c r="I230" s="23"/>
      <c r="J230" s="21"/>
      <c r="K230" s="21"/>
      <c r="L230" s="22"/>
      <c r="M230" s="33"/>
      <c r="N230" s="31"/>
      <c r="O230" s="31"/>
      <c r="P230" s="32"/>
      <c r="Q230" s="33"/>
      <c r="R230" s="31"/>
      <c r="S230" s="32"/>
      <c r="T230" s="33"/>
      <c r="U230" s="33"/>
      <c r="V230" s="31"/>
      <c r="W230" s="32"/>
      <c r="X230" s="23"/>
      <c r="Y230" s="21"/>
      <c r="Z230" s="21"/>
      <c r="AA230" s="22"/>
    </row>
    <row r="231" spans="1:27" s="18" customFormat="1" x14ac:dyDescent="0.3">
      <c r="A231" s="88"/>
      <c r="B231" s="93"/>
      <c r="C231" s="93"/>
      <c r="D231" s="15"/>
      <c r="E231" s="15"/>
      <c r="F231" s="15"/>
      <c r="G231" s="15"/>
      <c r="H231" s="15"/>
      <c r="I231" s="23"/>
      <c r="J231" s="21"/>
      <c r="K231" s="21"/>
      <c r="L231" s="22"/>
      <c r="M231" s="33"/>
      <c r="N231" s="31"/>
      <c r="O231" s="31"/>
      <c r="P231" s="32"/>
      <c r="Q231" s="33"/>
      <c r="R231" s="31"/>
      <c r="S231" s="32"/>
      <c r="T231" s="33"/>
      <c r="U231" s="33"/>
      <c r="V231" s="31"/>
      <c r="W231" s="32"/>
      <c r="X231" s="23"/>
      <c r="Y231" s="21"/>
      <c r="Z231" s="21"/>
      <c r="AA231" s="22"/>
    </row>
    <row r="232" spans="1:27" s="18" customFormat="1" x14ac:dyDescent="0.3">
      <c r="A232" s="88"/>
      <c r="B232" s="93"/>
      <c r="C232" s="93"/>
      <c r="D232" s="15"/>
      <c r="E232" s="15"/>
      <c r="F232" s="15"/>
      <c r="G232" s="15"/>
      <c r="H232" s="15"/>
      <c r="I232" s="23"/>
      <c r="J232" s="21"/>
      <c r="K232" s="21"/>
      <c r="L232" s="22"/>
      <c r="M232" s="33"/>
      <c r="N232" s="31"/>
      <c r="O232" s="31"/>
      <c r="P232" s="32"/>
      <c r="Q232" s="33"/>
      <c r="R232" s="31"/>
      <c r="S232" s="32"/>
      <c r="T232" s="33"/>
      <c r="U232" s="33"/>
      <c r="V232" s="31"/>
      <c r="W232" s="32"/>
      <c r="X232" s="23"/>
      <c r="Y232" s="21"/>
      <c r="Z232" s="21"/>
      <c r="AA232" s="22"/>
    </row>
    <row r="233" spans="1:27" s="18" customFormat="1" x14ac:dyDescent="0.3">
      <c r="A233" s="88"/>
      <c r="B233" s="93"/>
      <c r="C233" s="93"/>
      <c r="D233" s="14"/>
      <c r="E233" s="14"/>
      <c r="F233" s="14"/>
      <c r="G233" s="14"/>
      <c r="H233" s="14"/>
      <c r="I233" s="23"/>
      <c r="J233" s="21"/>
      <c r="K233" s="21"/>
      <c r="L233" s="22"/>
      <c r="M233" s="33"/>
      <c r="N233" s="31"/>
      <c r="O233" s="31"/>
      <c r="P233" s="32"/>
      <c r="Q233" s="33"/>
      <c r="R233" s="31"/>
      <c r="S233" s="32"/>
      <c r="T233" s="33"/>
      <c r="U233" s="33"/>
      <c r="V233" s="31"/>
      <c r="W233" s="32"/>
      <c r="X233" s="23"/>
      <c r="Y233" s="21"/>
      <c r="Z233" s="21"/>
      <c r="AA233" s="22"/>
    </row>
    <row r="234" spans="1:27" s="18" customFormat="1" x14ac:dyDescent="0.3">
      <c r="A234" s="88"/>
      <c r="B234" s="93"/>
      <c r="C234" s="93"/>
      <c r="D234" s="15"/>
      <c r="E234" s="15"/>
      <c r="F234" s="15"/>
      <c r="G234" s="15"/>
      <c r="H234" s="15"/>
      <c r="I234" s="23"/>
      <c r="J234" s="21"/>
      <c r="K234" s="21"/>
      <c r="L234" s="22"/>
      <c r="M234" s="33"/>
      <c r="N234" s="31"/>
      <c r="O234" s="31"/>
      <c r="P234" s="32"/>
      <c r="Q234" s="33"/>
      <c r="R234" s="31"/>
      <c r="S234" s="32"/>
      <c r="T234" s="33"/>
      <c r="U234" s="33"/>
      <c r="V234" s="31"/>
      <c r="W234" s="32"/>
      <c r="X234" s="23"/>
      <c r="Y234" s="21"/>
      <c r="Z234" s="21"/>
      <c r="AA234" s="22"/>
    </row>
    <row r="235" spans="1:27" s="18" customFormat="1" x14ac:dyDescent="0.3">
      <c r="A235" s="88"/>
      <c r="B235" s="93"/>
      <c r="C235" s="93"/>
      <c r="D235" s="15"/>
      <c r="E235" s="15"/>
      <c r="F235" s="15"/>
      <c r="G235" s="15"/>
      <c r="H235" s="15"/>
      <c r="I235" s="23"/>
      <c r="J235" s="21"/>
      <c r="K235" s="21"/>
      <c r="L235" s="22"/>
      <c r="M235" s="33"/>
      <c r="N235" s="31"/>
      <c r="O235" s="31"/>
      <c r="P235" s="32"/>
      <c r="Q235" s="33"/>
      <c r="R235" s="31"/>
      <c r="S235" s="32"/>
      <c r="T235" s="33"/>
      <c r="U235" s="33"/>
      <c r="V235" s="31"/>
      <c r="W235" s="32"/>
      <c r="X235" s="23"/>
      <c r="Y235" s="21"/>
      <c r="Z235" s="21"/>
      <c r="AA235" s="22"/>
    </row>
    <row r="236" spans="1:27" s="18" customFormat="1" x14ac:dyDescent="0.3">
      <c r="A236" s="88"/>
      <c r="B236" s="93"/>
      <c r="C236" s="93"/>
      <c r="D236" s="14"/>
      <c r="E236" s="14"/>
      <c r="F236" s="14"/>
      <c r="G236" s="14"/>
      <c r="H236" s="14"/>
      <c r="I236" s="23"/>
      <c r="J236" s="21"/>
      <c r="K236" s="21"/>
      <c r="L236" s="22"/>
      <c r="M236" s="33"/>
      <c r="N236" s="31"/>
      <c r="O236" s="31"/>
      <c r="P236" s="32"/>
      <c r="Q236" s="33"/>
      <c r="R236" s="31"/>
      <c r="S236" s="32"/>
      <c r="T236" s="33"/>
      <c r="U236" s="33"/>
      <c r="V236" s="31"/>
      <c r="W236" s="32"/>
      <c r="X236" s="23"/>
      <c r="Y236" s="21"/>
      <c r="Z236" s="21"/>
      <c r="AA236" s="22"/>
    </row>
    <row r="237" spans="1:27" s="18" customFormat="1" x14ac:dyDescent="0.3">
      <c r="A237" s="88"/>
      <c r="B237" s="93"/>
      <c r="C237" s="93"/>
      <c r="D237" s="15"/>
      <c r="E237" s="15"/>
      <c r="F237" s="15"/>
      <c r="G237" s="15"/>
      <c r="H237" s="15"/>
      <c r="I237" s="23"/>
      <c r="J237" s="21"/>
      <c r="K237" s="21"/>
      <c r="L237" s="22"/>
      <c r="M237" s="33"/>
      <c r="N237" s="31"/>
      <c r="O237" s="31"/>
      <c r="P237" s="32"/>
      <c r="Q237" s="33"/>
      <c r="R237" s="31"/>
      <c r="S237" s="32"/>
      <c r="T237" s="33"/>
      <c r="U237" s="33"/>
      <c r="V237" s="31"/>
      <c r="W237" s="32"/>
      <c r="X237" s="23"/>
      <c r="Y237" s="21"/>
      <c r="Z237" s="21"/>
      <c r="AA237" s="22"/>
    </row>
    <row r="238" spans="1:27" s="18" customFormat="1" x14ac:dyDescent="0.3">
      <c r="A238" s="88"/>
      <c r="B238" s="93"/>
      <c r="C238" s="93"/>
      <c r="D238" s="15"/>
      <c r="E238" s="15"/>
      <c r="F238" s="15"/>
      <c r="G238" s="15"/>
      <c r="H238" s="15"/>
      <c r="I238" s="23"/>
      <c r="J238" s="21"/>
      <c r="K238" s="21"/>
      <c r="L238" s="22"/>
      <c r="M238" s="33"/>
      <c r="N238" s="31"/>
      <c r="O238" s="31"/>
      <c r="P238" s="32"/>
      <c r="Q238" s="33"/>
      <c r="R238" s="31"/>
      <c r="S238" s="32"/>
      <c r="T238" s="33"/>
      <c r="U238" s="33"/>
      <c r="V238" s="31"/>
      <c r="W238" s="32"/>
      <c r="X238" s="23"/>
      <c r="Y238" s="21"/>
      <c r="Z238" s="21"/>
      <c r="AA238" s="22"/>
    </row>
    <row r="239" spans="1:27" s="18" customFormat="1" x14ac:dyDescent="0.3">
      <c r="A239" s="88"/>
      <c r="B239" s="93"/>
      <c r="C239" s="93"/>
      <c r="D239" s="14"/>
      <c r="E239" s="14"/>
      <c r="F239" s="14"/>
      <c r="G239" s="14"/>
      <c r="H239" s="14"/>
      <c r="I239" s="23"/>
      <c r="J239" s="21"/>
      <c r="K239" s="21"/>
      <c r="L239" s="22"/>
      <c r="M239" s="33"/>
      <c r="N239" s="31"/>
      <c r="O239" s="31"/>
      <c r="P239" s="32"/>
      <c r="Q239" s="33"/>
      <c r="R239" s="31"/>
      <c r="S239" s="32"/>
      <c r="T239" s="33"/>
      <c r="U239" s="33"/>
      <c r="V239" s="31"/>
      <c r="W239" s="32"/>
      <c r="X239" s="23"/>
      <c r="Y239" s="21"/>
      <c r="Z239" s="21"/>
      <c r="AA239" s="22"/>
    </row>
    <row r="240" spans="1:27" s="18" customFormat="1" x14ac:dyDescent="0.3">
      <c r="A240" s="88"/>
      <c r="B240" s="93"/>
      <c r="C240" s="93"/>
      <c r="D240" s="15"/>
      <c r="E240" s="15"/>
      <c r="F240" s="15"/>
      <c r="G240" s="15"/>
      <c r="H240" s="15"/>
      <c r="I240" s="23"/>
      <c r="J240" s="21"/>
      <c r="K240" s="21"/>
      <c r="L240" s="22"/>
      <c r="M240" s="33"/>
      <c r="N240" s="31"/>
      <c r="O240" s="31"/>
      <c r="P240" s="32"/>
      <c r="Q240" s="33"/>
      <c r="R240" s="31"/>
      <c r="S240" s="32"/>
      <c r="T240" s="33"/>
      <c r="U240" s="33"/>
      <c r="V240" s="31"/>
      <c r="W240" s="32"/>
      <c r="X240" s="23"/>
      <c r="Y240" s="21"/>
      <c r="Z240" s="21"/>
      <c r="AA240" s="22"/>
    </row>
    <row r="241" spans="1:27" s="18" customFormat="1" x14ac:dyDescent="0.3">
      <c r="A241" s="88"/>
      <c r="B241" s="93"/>
      <c r="C241" s="93"/>
      <c r="D241" s="15"/>
      <c r="E241" s="15"/>
      <c r="F241" s="15"/>
      <c r="G241" s="15"/>
      <c r="H241" s="15"/>
      <c r="I241" s="23"/>
      <c r="J241" s="21"/>
      <c r="K241" s="21"/>
      <c r="L241" s="22"/>
      <c r="M241" s="33"/>
      <c r="N241" s="31"/>
      <c r="O241" s="31"/>
      <c r="P241" s="32"/>
      <c r="Q241" s="33"/>
      <c r="R241" s="31"/>
      <c r="S241" s="32"/>
      <c r="T241" s="33"/>
      <c r="U241" s="33"/>
      <c r="V241" s="31"/>
      <c r="W241" s="32"/>
      <c r="X241" s="23"/>
      <c r="Y241" s="21"/>
      <c r="Z241" s="21"/>
      <c r="AA241" s="22"/>
    </row>
    <row r="242" spans="1:27" s="18" customFormat="1" x14ac:dyDescent="0.3">
      <c r="A242" s="88"/>
      <c r="B242" s="93"/>
      <c r="C242" s="93"/>
      <c r="D242" s="14"/>
      <c r="E242" s="14"/>
      <c r="F242" s="14"/>
      <c r="G242" s="14"/>
      <c r="H242" s="14"/>
      <c r="I242" s="23"/>
      <c r="J242" s="21"/>
      <c r="K242" s="21"/>
      <c r="L242" s="22"/>
      <c r="M242" s="33"/>
      <c r="N242" s="31"/>
      <c r="O242" s="31"/>
      <c r="P242" s="32"/>
      <c r="Q242" s="33"/>
      <c r="R242" s="31"/>
      <c r="S242" s="32"/>
      <c r="T242" s="33"/>
      <c r="U242" s="33"/>
      <c r="V242" s="31"/>
      <c r="W242" s="32"/>
      <c r="X242" s="23"/>
      <c r="Y242" s="21"/>
      <c r="Z242" s="21"/>
      <c r="AA242" s="22"/>
    </row>
    <row r="243" spans="1:27" s="18" customFormat="1" x14ac:dyDescent="0.3">
      <c r="A243" s="88"/>
      <c r="B243" s="93"/>
      <c r="C243" s="93"/>
      <c r="D243" s="15"/>
      <c r="E243" s="15"/>
      <c r="F243" s="15"/>
      <c r="G243" s="15"/>
      <c r="H243" s="15"/>
      <c r="I243" s="23"/>
      <c r="J243" s="21"/>
      <c r="K243" s="21"/>
      <c r="L243" s="22"/>
      <c r="M243" s="33"/>
      <c r="N243" s="31"/>
      <c r="O243" s="31"/>
      <c r="P243" s="32"/>
      <c r="Q243" s="33"/>
      <c r="R243" s="31"/>
      <c r="S243" s="32"/>
      <c r="T243" s="33"/>
      <c r="U243" s="33"/>
      <c r="V243" s="31"/>
      <c r="W243" s="32"/>
      <c r="X243" s="23"/>
      <c r="Y243" s="21"/>
      <c r="Z243" s="21"/>
      <c r="AA243" s="22"/>
    </row>
    <row r="244" spans="1:27" s="18" customFormat="1" x14ac:dyDescent="0.3">
      <c r="A244" s="88"/>
      <c r="B244" s="93"/>
      <c r="C244" s="93"/>
      <c r="D244" s="15"/>
      <c r="E244" s="15"/>
      <c r="F244" s="15"/>
      <c r="G244" s="15"/>
      <c r="H244" s="15"/>
      <c r="I244" s="23"/>
      <c r="J244" s="21"/>
      <c r="K244" s="21"/>
      <c r="L244" s="22"/>
      <c r="M244" s="33"/>
      <c r="N244" s="31"/>
      <c r="O244" s="31"/>
      <c r="P244" s="32"/>
      <c r="Q244" s="33"/>
      <c r="R244" s="31"/>
      <c r="S244" s="32"/>
      <c r="T244" s="33"/>
      <c r="U244" s="33"/>
      <c r="V244" s="31"/>
      <c r="W244" s="32"/>
      <c r="X244" s="23"/>
      <c r="Y244" s="21"/>
      <c r="Z244" s="21"/>
      <c r="AA244" s="22"/>
    </row>
    <row r="245" spans="1:27" s="18" customFormat="1" x14ac:dyDescent="0.3">
      <c r="A245" s="88"/>
      <c r="B245" s="93"/>
      <c r="C245" s="93"/>
      <c r="D245" s="14"/>
      <c r="E245" s="14"/>
      <c r="F245" s="14"/>
      <c r="G245" s="14"/>
      <c r="H245" s="14"/>
      <c r="I245" s="23"/>
      <c r="J245" s="21"/>
      <c r="K245" s="21"/>
      <c r="L245" s="22"/>
      <c r="M245" s="33"/>
      <c r="N245" s="31"/>
      <c r="O245" s="31"/>
      <c r="P245" s="32"/>
      <c r="Q245" s="33"/>
      <c r="R245" s="31"/>
      <c r="S245" s="32"/>
      <c r="T245" s="33"/>
      <c r="U245" s="33"/>
      <c r="V245" s="31"/>
      <c r="W245" s="32"/>
      <c r="X245" s="23"/>
      <c r="Y245" s="21"/>
      <c r="Z245" s="21"/>
      <c r="AA245" s="22"/>
    </row>
    <row r="246" spans="1:27" s="18" customFormat="1" x14ac:dyDescent="0.3">
      <c r="A246" s="88"/>
      <c r="B246" s="93"/>
      <c r="C246" s="93"/>
      <c r="D246" s="15"/>
      <c r="E246" s="15"/>
      <c r="F246" s="15"/>
      <c r="G246" s="15"/>
      <c r="H246" s="15"/>
      <c r="I246" s="23"/>
      <c r="J246" s="21"/>
      <c r="K246" s="21"/>
      <c r="L246" s="22"/>
      <c r="M246" s="33"/>
      <c r="N246" s="31"/>
      <c r="O246" s="31"/>
      <c r="P246" s="32"/>
      <c r="Q246" s="33"/>
      <c r="R246" s="31"/>
      <c r="S246" s="32"/>
      <c r="T246" s="33"/>
      <c r="U246" s="33"/>
      <c r="V246" s="31"/>
      <c r="W246" s="32"/>
      <c r="X246" s="23"/>
      <c r="Y246" s="21"/>
      <c r="Z246" s="21"/>
      <c r="AA246" s="22"/>
    </row>
    <row r="247" spans="1:27" s="18" customFormat="1" x14ac:dyDescent="0.3">
      <c r="A247" s="88"/>
      <c r="B247" s="93"/>
      <c r="C247" s="93"/>
      <c r="D247" s="15"/>
      <c r="E247" s="15"/>
      <c r="F247" s="15"/>
      <c r="G247" s="15"/>
      <c r="H247" s="15"/>
      <c r="I247" s="23"/>
      <c r="J247" s="21"/>
      <c r="K247" s="21"/>
      <c r="L247" s="22"/>
      <c r="M247" s="33"/>
      <c r="N247" s="31"/>
      <c r="O247" s="31"/>
      <c r="P247" s="32"/>
      <c r="Q247" s="33"/>
      <c r="R247" s="31"/>
      <c r="S247" s="32"/>
      <c r="T247" s="33"/>
      <c r="U247" s="33"/>
      <c r="V247" s="31"/>
      <c r="W247" s="32"/>
      <c r="X247" s="23"/>
      <c r="Y247" s="21"/>
      <c r="Z247" s="21"/>
      <c r="AA247" s="22"/>
    </row>
    <row r="248" spans="1:27" s="18" customFormat="1" x14ac:dyDescent="0.3">
      <c r="A248" s="88"/>
      <c r="B248" s="93"/>
      <c r="C248" s="93"/>
      <c r="D248" s="14"/>
      <c r="E248" s="14"/>
      <c r="F248" s="14"/>
      <c r="G248" s="14"/>
      <c r="H248" s="14"/>
      <c r="I248" s="23"/>
      <c r="J248" s="21"/>
      <c r="K248" s="21"/>
      <c r="L248" s="22"/>
      <c r="M248" s="33"/>
      <c r="N248" s="31"/>
      <c r="O248" s="31"/>
      <c r="P248" s="32"/>
      <c r="Q248" s="33"/>
      <c r="R248" s="31"/>
      <c r="S248" s="32"/>
      <c r="T248" s="33"/>
      <c r="U248" s="33"/>
      <c r="V248" s="31"/>
      <c r="W248" s="32"/>
      <c r="X248" s="23"/>
      <c r="Y248" s="21"/>
      <c r="Z248" s="21"/>
      <c r="AA248" s="22"/>
    </row>
    <row r="249" spans="1:27" s="18" customFormat="1" x14ac:dyDescent="0.3">
      <c r="A249" s="88"/>
      <c r="B249" s="93"/>
      <c r="C249" s="93"/>
      <c r="D249" s="15"/>
      <c r="E249" s="15"/>
      <c r="F249" s="15"/>
      <c r="G249" s="15"/>
      <c r="H249" s="15"/>
      <c r="I249" s="23"/>
      <c r="J249" s="21"/>
      <c r="K249" s="21"/>
      <c r="L249" s="22"/>
      <c r="M249" s="33"/>
      <c r="N249" s="31"/>
      <c r="O249" s="31"/>
      <c r="P249" s="32"/>
      <c r="Q249" s="33"/>
      <c r="R249" s="31"/>
      <c r="S249" s="32"/>
      <c r="T249" s="33"/>
      <c r="U249" s="33"/>
      <c r="V249" s="31"/>
      <c r="W249" s="32"/>
      <c r="X249" s="23"/>
      <c r="Y249" s="21"/>
      <c r="Z249" s="21"/>
      <c r="AA249" s="22"/>
    </row>
    <row r="250" spans="1:27" s="18" customFormat="1" x14ac:dyDescent="0.3">
      <c r="A250" s="88"/>
      <c r="B250" s="93"/>
      <c r="C250" s="93"/>
      <c r="D250" s="15"/>
      <c r="E250" s="15"/>
      <c r="F250" s="15"/>
      <c r="G250" s="15"/>
      <c r="H250" s="15"/>
      <c r="I250" s="23"/>
      <c r="J250" s="21"/>
      <c r="K250" s="21"/>
      <c r="L250" s="22"/>
      <c r="M250" s="33"/>
      <c r="N250" s="31"/>
      <c r="O250" s="31"/>
      <c r="P250" s="32"/>
      <c r="Q250" s="33"/>
      <c r="R250" s="31"/>
      <c r="S250" s="32"/>
      <c r="T250" s="33"/>
      <c r="U250" s="33"/>
      <c r="V250" s="31"/>
      <c r="W250" s="32"/>
      <c r="X250" s="23"/>
      <c r="Y250" s="21"/>
      <c r="Z250" s="21"/>
      <c r="AA250" s="22"/>
    </row>
    <row r="251" spans="1:27" s="18" customFormat="1" x14ac:dyDescent="0.3">
      <c r="A251" s="88"/>
      <c r="B251" s="93"/>
      <c r="C251" s="93"/>
      <c r="D251" s="14"/>
      <c r="E251" s="14"/>
      <c r="F251" s="14"/>
      <c r="G251" s="14"/>
      <c r="H251" s="14"/>
      <c r="I251" s="23"/>
      <c r="J251" s="21"/>
      <c r="K251" s="21"/>
      <c r="L251" s="22"/>
      <c r="M251" s="33"/>
      <c r="N251" s="31"/>
      <c r="O251" s="31"/>
      <c r="P251" s="32"/>
      <c r="Q251" s="33"/>
      <c r="R251" s="31"/>
      <c r="S251" s="32"/>
      <c r="T251" s="33"/>
      <c r="U251" s="33"/>
      <c r="V251" s="31"/>
      <c r="W251" s="32"/>
      <c r="X251" s="23"/>
      <c r="Y251" s="21"/>
      <c r="Z251" s="21"/>
      <c r="AA251" s="22"/>
    </row>
    <row r="252" spans="1:27" s="18" customFormat="1" x14ac:dyDescent="0.3">
      <c r="A252" s="88"/>
      <c r="B252" s="93"/>
      <c r="C252" s="93"/>
      <c r="D252" s="15"/>
      <c r="E252" s="15"/>
      <c r="F252" s="15"/>
      <c r="G252" s="15"/>
      <c r="H252" s="15"/>
      <c r="I252" s="23"/>
      <c r="J252" s="21"/>
      <c r="K252" s="21"/>
      <c r="L252" s="22"/>
      <c r="M252" s="33"/>
      <c r="N252" s="31"/>
      <c r="O252" s="31"/>
      <c r="P252" s="32"/>
      <c r="Q252" s="33"/>
      <c r="R252" s="31"/>
      <c r="S252" s="32"/>
      <c r="T252" s="33"/>
      <c r="U252" s="33"/>
      <c r="V252" s="31"/>
      <c r="W252" s="32"/>
      <c r="X252" s="23"/>
      <c r="Y252" s="21"/>
      <c r="Z252" s="21"/>
      <c r="AA252" s="22"/>
    </row>
    <row r="253" spans="1:27" s="18" customFormat="1" x14ac:dyDescent="0.3">
      <c r="A253" s="88"/>
      <c r="B253" s="93"/>
      <c r="C253" s="93"/>
      <c r="D253" s="15"/>
      <c r="E253" s="15"/>
      <c r="F253" s="15"/>
      <c r="G253" s="15"/>
      <c r="H253" s="15"/>
      <c r="I253" s="23"/>
      <c r="J253" s="21"/>
      <c r="K253" s="21"/>
      <c r="L253" s="22"/>
      <c r="M253" s="33"/>
      <c r="N253" s="31"/>
      <c r="O253" s="31"/>
      <c r="P253" s="32"/>
      <c r="Q253" s="33"/>
      <c r="R253" s="31"/>
      <c r="S253" s="32"/>
      <c r="T253" s="33"/>
      <c r="U253" s="33"/>
      <c r="V253" s="31"/>
      <c r="W253" s="32"/>
      <c r="X253" s="23"/>
      <c r="Y253" s="21"/>
      <c r="Z253" s="21"/>
      <c r="AA253" s="22"/>
    </row>
    <row r="254" spans="1:27" s="18" customFormat="1" x14ac:dyDescent="0.3">
      <c r="A254" s="88"/>
      <c r="B254" s="93"/>
      <c r="C254" s="93"/>
      <c r="D254" s="14"/>
      <c r="E254" s="14"/>
      <c r="F254" s="14"/>
      <c r="G254" s="14"/>
      <c r="H254" s="14"/>
      <c r="I254" s="23"/>
      <c r="J254" s="21"/>
      <c r="K254" s="21"/>
      <c r="L254" s="22"/>
      <c r="M254" s="33"/>
      <c r="N254" s="31"/>
      <c r="O254" s="31"/>
      <c r="P254" s="32"/>
      <c r="Q254" s="33"/>
      <c r="R254" s="31"/>
      <c r="S254" s="32"/>
      <c r="T254" s="33"/>
      <c r="U254" s="33"/>
      <c r="V254" s="31"/>
      <c r="W254" s="32"/>
      <c r="X254" s="23"/>
      <c r="Y254" s="21"/>
      <c r="Z254" s="21"/>
      <c r="AA254" s="22"/>
    </row>
    <row r="255" spans="1:27" s="18" customFormat="1" x14ac:dyDescent="0.3">
      <c r="A255" s="88"/>
      <c r="B255" s="93"/>
      <c r="C255" s="93"/>
      <c r="D255" s="15"/>
      <c r="E255" s="15"/>
      <c r="F255" s="15"/>
      <c r="G255" s="15"/>
      <c r="H255" s="15"/>
      <c r="I255" s="23"/>
      <c r="J255" s="21"/>
      <c r="K255" s="21"/>
      <c r="L255" s="22"/>
      <c r="M255" s="33"/>
      <c r="N255" s="31"/>
      <c r="O255" s="31"/>
      <c r="P255" s="32"/>
      <c r="Q255" s="33"/>
      <c r="R255" s="31"/>
      <c r="S255" s="32"/>
      <c r="T255" s="33"/>
      <c r="U255" s="33"/>
      <c r="V255" s="31"/>
      <c r="W255" s="32"/>
      <c r="X255" s="23"/>
      <c r="Y255" s="21"/>
      <c r="Z255" s="21"/>
      <c r="AA255" s="22"/>
    </row>
    <row r="256" spans="1:27" s="18" customFormat="1" x14ac:dyDescent="0.3">
      <c r="A256" s="88"/>
      <c r="B256" s="93"/>
      <c r="C256" s="93"/>
      <c r="D256" s="15"/>
      <c r="E256" s="15"/>
      <c r="F256" s="15"/>
      <c r="G256" s="15"/>
      <c r="H256" s="15"/>
      <c r="I256" s="23"/>
      <c r="J256" s="21"/>
      <c r="K256" s="21"/>
      <c r="L256" s="22"/>
      <c r="M256" s="33"/>
      <c r="N256" s="31"/>
      <c r="O256" s="31"/>
      <c r="P256" s="32"/>
      <c r="Q256" s="33"/>
      <c r="R256" s="31"/>
      <c r="S256" s="32"/>
      <c r="T256" s="33"/>
      <c r="U256" s="33"/>
      <c r="V256" s="31"/>
      <c r="W256" s="32"/>
      <c r="X256" s="23"/>
      <c r="Y256" s="21"/>
      <c r="Z256" s="21"/>
      <c r="AA256" s="22"/>
    </row>
    <row r="257" spans="1:27" s="18" customFormat="1" x14ac:dyDescent="0.3">
      <c r="A257" s="88"/>
      <c r="B257" s="93"/>
      <c r="C257" s="93"/>
      <c r="D257" s="14"/>
      <c r="E257" s="14"/>
      <c r="F257" s="14"/>
      <c r="G257" s="14"/>
      <c r="H257" s="14"/>
      <c r="I257" s="23"/>
      <c r="J257" s="21"/>
      <c r="K257" s="21"/>
      <c r="L257" s="22"/>
      <c r="M257" s="33"/>
      <c r="N257" s="31"/>
      <c r="O257" s="31"/>
      <c r="P257" s="32"/>
      <c r="Q257" s="33"/>
      <c r="R257" s="31"/>
      <c r="S257" s="32"/>
      <c r="T257" s="33"/>
      <c r="U257" s="33"/>
      <c r="V257" s="31"/>
      <c r="W257" s="32"/>
      <c r="X257" s="23"/>
      <c r="Y257" s="21"/>
      <c r="Z257" s="21"/>
      <c r="AA257" s="22"/>
    </row>
    <row r="258" spans="1:27" s="18" customFormat="1" x14ac:dyDescent="0.3">
      <c r="A258" s="88"/>
      <c r="B258" s="93"/>
      <c r="C258" s="93"/>
      <c r="D258" s="15"/>
      <c r="E258" s="15"/>
      <c r="F258" s="15"/>
      <c r="G258" s="15"/>
      <c r="H258" s="15"/>
      <c r="I258" s="23"/>
      <c r="J258" s="21"/>
      <c r="K258" s="21"/>
      <c r="L258" s="22"/>
      <c r="M258" s="33"/>
      <c r="N258" s="31"/>
      <c r="O258" s="31"/>
      <c r="P258" s="32"/>
      <c r="Q258" s="33"/>
      <c r="R258" s="31"/>
      <c r="S258" s="32"/>
      <c r="T258" s="33"/>
      <c r="U258" s="33"/>
      <c r="V258" s="31"/>
      <c r="W258" s="32"/>
      <c r="X258" s="23"/>
      <c r="Y258" s="21"/>
      <c r="Z258" s="21"/>
      <c r="AA258" s="22"/>
    </row>
    <row r="259" spans="1:27" s="18" customFormat="1" x14ac:dyDescent="0.3">
      <c r="A259" s="88"/>
      <c r="B259" s="93"/>
      <c r="C259" s="93"/>
      <c r="D259" s="15"/>
      <c r="E259" s="15"/>
      <c r="F259" s="15"/>
      <c r="G259" s="15"/>
      <c r="H259" s="15"/>
      <c r="I259" s="23"/>
      <c r="J259" s="21"/>
      <c r="K259" s="21"/>
      <c r="L259" s="22"/>
      <c r="M259" s="33"/>
      <c r="N259" s="31"/>
      <c r="O259" s="31"/>
      <c r="P259" s="32"/>
      <c r="Q259" s="33"/>
      <c r="R259" s="31"/>
      <c r="S259" s="32"/>
      <c r="T259" s="33"/>
      <c r="U259" s="33"/>
      <c r="V259" s="31"/>
      <c r="W259" s="32"/>
      <c r="X259" s="23"/>
      <c r="Y259" s="21"/>
      <c r="Z259" s="21"/>
      <c r="AA259" s="22"/>
    </row>
    <row r="260" spans="1:27" s="18" customFormat="1" x14ac:dyDescent="0.3">
      <c r="A260" s="88"/>
      <c r="B260" s="93"/>
      <c r="C260" s="93"/>
      <c r="D260" s="14"/>
      <c r="E260" s="14"/>
      <c r="F260" s="14"/>
      <c r="G260" s="14"/>
      <c r="H260" s="14"/>
      <c r="I260" s="23"/>
      <c r="J260" s="21"/>
      <c r="K260" s="21"/>
      <c r="L260" s="22"/>
      <c r="M260" s="33"/>
      <c r="N260" s="31"/>
      <c r="O260" s="31"/>
      <c r="P260" s="32"/>
      <c r="Q260" s="33"/>
      <c r="R260" s="31"/>
      <c r="S260" s="32"/>
      <c r="T260" s="33"/>
      <c r="U260" s="33"/>
      <c r="V260" s="31"/>
      <c r="W260" s="32"/>
      <c r="X260" s="23"/>
      <c r="Y260" s="21"/>
      <c r="Z260" s="21"/>
      <c r="AA260" s="22"/>
    </row>
    <row r="261" spans="1:27" s="18" customFormat="1" x14ac:dyDescent="0.3">
      <c r="A261" s="88"/>
      <c r="B261" s="93"/>
      <c r="C261" s="93"/>
      <c r="D261" s="15"/>
      <c r="E261" s="15"/>
      <c r="F261" s="15"/>
      <c r="G261" s="15"/>
      <c r="H261" s="15"/>
      <c r="I261" s="23"/>
      <c r="J261" s="21"/>
      <c r="K261" s="21"/>
      <c r="L261" s="22"/>
      <c r="M261" s="33"/>
      <c r="N261" s="31"/>
      <c r="O261" s="31"/>
      <c r="P261" s="32"/>
      <c r="Q261" s="33"/>
      <c r="R261" s="31"/>
      <c r="S261" s="32"/>
      <c r="T261" s="33"/>
      <c r="U261" s="33"/>
      <c r="V261" s="31"/>
      <c r="W261" s="32"/>
      <c r="X261" s="23"/>
      <c r="Y261" s="21"/>
      <c r="Z261" s="21"/>
      <c r="AA261" s="22"/>
    </row>
    <row r="262" spans="1:27" s="18" customFormat="1" x14ac:dyDescent="0.3">
      <c r="A262" s="88"/>
      <c r="B262" s="93"/>
      <c r="C262" s="93"/>
      <c r="D262" s="15"/>
      <c r="E262" s="15"/>
      <c r="F262" s="15"/>
      <c r="G262" s="15"/>
      <c r="H262" s="15"/>
      <c r="I262" s="23"/>
      <c r="J262" s="21"/>
      <c r="K262" s="21"/>
      <c r="L262" s="22"/>
      <c r="M262" s="33"/>
      <c r="N262" s="31"/>
      <c r="O262" s="31"/>
      <c r="P262" s="32"/>
      <c r="Q262" s="33"/>
      <c r="R262" s="31"/>
      <c r="S262" s="32"/>
      <c r="T262" s="33"/>
      <c r="U262" s="33"/>
      <c r="V262" s="31"/>
      <c r="W262" s="32"/>
      <c r="X262" s="23"/>
      <c r="Y262" s="21"/>
      <c r="Z262" s="21"/>
      <c r="AA262" s="22"/>
    </row>
    <row r="263" spans="1:27" s="18" customFormat="1" x14ac:dyDescent="0.3">
      <c r="A263" s="88"/>
      <c r="B263" s="93"/>
      <c r="C263" s="93"/>
      <c r="D263" s="14"/>
      <c r="E263" s="14"/>
      <c r="F263" s="14"/>
      <c r="G263" s="14"/>
      <c r="H263" s="14"/>
      <c r="I263" s="23"/>
      <c r="J263" s="21"/>
      <c r="K263" s="21"/>
      <c r="L263" s="22"/>
      <c r="M263" s="33"/>
      <c r="N263" s="31"/>
      <c r="O263" s="31"/>
      <c r="P263" s="32"/>
      <c r="Q263" s="33"/>
      <c r="R263" s="31"/>
      <c r="S263" s="32"/>
      <c r="T263" s="33"/>
      <c r="U263" s="33"/>
      <c r="V263" s="31"/>
      <c r="W263" s="32"/>
      <c r="X263" s="23"/>
      <c r="Y263" s="21"/>
      <c r="Z263" s="21"/>
      <c r="AA263" s="22"/>
    </row>
    <row r="264" spans="1:27" s="18" customFormat="1" x14ac:dyDescent="0.3">
      <c r="A264" s="88"/>
      <c r="B264" s="93"/>
      <c r="C264" s="93"/>
      <c r="D264" s="15"/>
      <c r="E264" s="15"/>
      <c r="F264" s="15"/>
      <c r="G264" s="15"/>
      <c r="H264" s="15"/>
      <c r="I264" s="23"/>
      <c r="J264" s="21"/>
      <c r="K264" s="21"/>
      <c r="L264" s="22"/>
      <c r="M264" s="33"/>
      <c r="N264" s="31"/>
      <c r="O264" s="31"/>
      <c r="P264" s="32"/>
      <c r="Q264" s="33"/>
      <c r="R264" s="31"/>
      <c r="S264" s="32"/>
      <c r="T264" s="33"/>
      <c r="U264" s="33"/>
      <c r="V264" s="31"/>
      <c r="W264" s="32"/>
      <c r="X264" s="23"/>
      <c r="Y264" s="21"/>
      <c r="Z264" s="21"/>
      <c r="AA264" s="22"/>
    </row>
    <row r="265" spans="1:27" s="18" customFormat="1" x14ac:dyDescent="0.3">
      <c r="A265" s="88"/>
      <c r="B265" s="93"/>
      <c r="C265" s="93"/>
      <c r="D265" s="15"/>
      <c r="E265" s="15"/>
      <c r="F265" s="15"/>
      <c r="G265" s="15"/>
      <c r="H265" s="15"/>
      <c r="I265" s="23"/>
      <c r="J265" s="21"/>
      <c r="K265" s="21"/>
      <c r="L265" s="22"/>
      <c r="M265" s="33"/>
      <c r="N265" s="31"/>
      <c r="O265" s="31"/>
      <c r="P265" s="32"/>
      <c r="Q265" s="33"/>
      <c r="R265" s="31"/>
      <c r="S265" s="32"/>
      <c r="T265" s="33"/>
      <c r="U265" s="33"/>
      <c r="V265" s="31"/>
      <c r="W265" s="32"/>
      <c r="X265" s="23"/>
      <c r="Y265" s="21"/>
      <c r="Z265" s="21"/>
      <c r="AA265" s="22"/>
    </row>
    <row r="266" spans="1:27" s="18" customFormat="1" x14ac:dyDescent="0.3">
      <c r="A266" s="88"/>
      <c r="B266" s="93"/>
      <c r="C266" s="93"/>
      <c r="D266" s="14"/>
      <c r="E266" s="14"/>
      <c r="F266" s="14"/>
      <c r="G266" s="14"/>
      <c r="H266" s="14"/>
      <c r="I266" s="23"/>
      <c r="J266" s="21"/>
      <c r="K266" s="21"/>
      <c r="L266" s="22"/>
      <c r="M266" s="33"/>
      <c r="N266" s="31"/>
      <c r="O266" s="31"/>
      <c r="P266" s="32"/>
      <c r="Q266" s="33"/>
      <c r="R266" s="31"/>
      <c r="S266" s="32"/>
      <c r="T266" s="33"/>
      <c r="U266" s="33"/>
      <c r="V266" s="31"/>
      <c r="W266" s="32"/>
      <c r="X266" s="23"/>
      <c r="Y266" s="21"/>
      <c r="Z266" s="21"/>
      <c r="AA266" s="22"/>
    </row>
    <row r="267" spans="1:27" s="18" customFormat="1" x14ac:dyDescent="0.3">
      <c r="A267" s="90"/>
      <c r="B267" s="94"/>
      <c r="C267" s="94"/>
      <c r="D267" s="34"/>
      <c r="E267" s="34"/>
      <c r="F267" s="34"/>
      <c r="G267" s="34"/>
      <c r="H267" s="34"/>
      <c r="I267" s="23"/>
      <c r="J267" s="21"/>
      <c r="K267" s="21"/>
      <c r="L267" s="22"/>
      <c r="M267" s="33"/>
      <c r="N267" s="31"/>
      <c r="O267" s="31"/>
      <c r="P267" s="32"/>
      <c r="Q267" s="33"/>
      <c r="R267" s="31"/>
      <c r="S267" s="32"/>
      <c r="T267" s="33"/>
      <c r="U267" s="33"/>
      <c r="V267" s="31"/>
      <c r="W267" s="32"/>
      <c r="X267" s="23"/>
      <c r="Y267" s="21"/>
      <c r="Z267" s="21"/>
      <c r="AA267" s="22"/>
    </row>
    <row r="268" spans="1:27" s="18" customFormat="1" x14ac:dyDescent="0.3">
      <c r="A268" s="90"/>
      <c r="B268" s="94"/>
      <c r="C268" s="94"/>
      <c r="D268" s="34"/>
      <c r="E268" s="34"/>
      <c r="F268" s="34"/>
      <c r="G268" s="34"/>
      <c r="H268" s="34"/>
      <c r="I268" s="23"/>
      <c r="J268" s="21"/>
      <c r="K268" s="21"/>
      <c r="L268" s="22"/>
      <c r="M268" s="33"/>
      <c r="N268" s="31"/>
      <c r="O268" s="31"/>
      <c r="P268" s="32"/>
      <c r="Q268" s="33"/>
      <c r="R268" s="31"/>
      <c r="S268" s="32"/>
      <c r="T268" s="33"/>
      <c r="U268" s="33"/>
      <c r="V268" s="31"/>
      <c r="W268" s="32"/>
      <c r="X268" s="23"/>
      <c r="Y268" s="21"/>
      <c r="Z268" s="21"/>
      <c r="AA268" s="22"/>
    </row>
    <row r="269" spans="1:27" s="18" customFormat="1" x14ac:dyDescent="0.3">
      <c r="A269" s="90"/>
      <c r="B269" s="94"/>
      <c r="C269" s="94"/>
      <c r="D269" s="34"/>
      <c r="E269" s="34"/>
      <c r="F269" s="34"/>
      <c r="G269" s="34"/>
      <c r="H269" s="34"/>
      <c r="I269" s="23"/>
      <c r="J269" s="21"/>
      <c r="K269" s="21"/>
      <c r="L269" s="22"/>
      <c r="M269" s="33"/>
      <c r="N269" s="31"/>
      <c r="O269" s="31"/>
      <c r="P269" s="32"/>
      <c r="Q269" s="33"/>
      <c r="R269" s="31"/>
      <c r="S269" s="32"/>
      <c r="T269" s="33"/>
      <c r="U269" s="33"/>
      <c r="V269" s="31"/>
      <c r="W269" s="32"/>
      <c r="X269" s="23"/>
      <c r="Y269" s="21"/>
      <c r="Z269" s="21"/>
      <c r="AA269" s="22"/>
    </row>
    <row r="270" spans="1:27" s="18" customFormat="1" x14ac:dyDescent="0.3">
      <c r="A270" s="90"/>
      <c r="B270" s="94"/>
      <c r="C270" s="94"/>
      <c r="D270" s="34"/>
      <c r="E270" s="34"/>
      <c r="F270" s="34"/>
      <c r="G270" s="34"/>
      <c r="H270" s="34"/>
      <c r="I270" s="23"/>
      <c r="J270" s="21"/>
      <c r="K270" s="21"/>
      <c r="L270" s="22"/>
      <c r="M270" s="33"/>
      <c r="N270" s="31"/>
      <c r="O270" s="31"/>
      <c r="P270" s="32"/>
      <c r="Q270" s="33"/>
      <c r="R270" s="31"/>
      <c r="S270" s="32"/>
      <c r="T270" s="33"/>
      <c r="U270" s="33"/>
      <c r="V270" s="31"/>
      <c r="W270" s="32"/>
      <c r="X270" s="23"/>
      <c r="Y270" s="21"/>
      <c r="Z270" s="21"/>
      <c r="AA270" s="22"/>
    </row>
    <row r="271" spans="1:27" s="18" customFormat="1" x14ac:dyDescent="0.3">
      <c r="A271" s="90"/>
      <c r="B271" s="94"/>
      <c r="C271" s="94"/>
      <c r="D271" s="34"/>
      <c r="E271" s="34"/>
      <c r="F271" s="34"/>
      <c r="G271" s="34"/>
      <c r="H271" s="34"/>
      <c r="I271" s="23"/>
      <c r="J271" s="21"/>
      <c r="K271" s="21"/>
      <c r="L271" s="22"/>
      <c r="M271" s="33"/>
      <c r="N271" s="31"/>
      <c r="O271" s="31"/>
      <c r="P271" s="32"/>
      <c r="Q271" s="33"/>
      <c r="R271" s="31"/>
      <c r="S271" s="32"/>
      <c r="T271" s="33"/>
      <c r="U271" s="33"/>
      <c r="V271" s="31"/>
      <c r="W271" s="32"/>
      <c r="X271" s="23"/>
      <c r="Y271" s="21"/>
      <c r="Z271" s="21"/>
      <c r="AA271" s="22"/>
    </row>
    <row r="272" spans="1:27" s="18" customFormat="1" x14ac:dyDescent="0.3">
      <c r="A272" s="90"/>
      <c r="B272" s="94"/>
      <c r="C272" s="94"/>
      <c r="D272" s="34"/>
      <c r="E272" s="34"/>
      <c r="F272" s="34"/>
      <c r="G272" s="34"/>
      <c r="H272" s="34"/>
      <c r="I272" s="23"/>
      <c r="J272" s="21"/>
      <c r="K272" s="21"/>
      <c r="L272" s="22"/>
      <c r="M272" s="33"/>
      <c r="N272" s="31"/>
      <c r="O272" s="31"/>
      <c r="P272" s="32"/>
      <c r="Q272" s="33"/>
      <c r="R272" s="31"/>
      <c r="S272" s="32"/>
      <c r="T272" s="33"/>
      <c r="U272" s="33"/>
      <c r="V272" s="31"/>
      <c r="W272" s="32"/>
      <c r="X272" s="23"/>
      <c r="Y272" s="21"/>
      <c r="Z272" s="21"/>
      <c r="AA272" s="22"/>
    </row>
    <row r="273" spans="1:27" s="18" customFormat="1" x14ac:dyDescent="0.3">
      <c r="A273" s="90"/>
      <c r="B273" s="94"/>
      <c r="C273" s="94"/>
      <c r="D273" s="34"/>
      <c r="E273" s="34"/>
      <c r="F273" s="34"/>
      <c r="G273" s="34"/>
      <c r="H273" s="34"/>
      <c r="I273" s="23"/>
      <c r="J273" s="21"/>
      <c r="K273" s="21"/>
      <c r="L273" s="22"/>
      <c r="M273" s="33"/>
      <c r="N273" s="31"/>
      <c r="O273" s="31"/>
      <c r="P273" s="32"/>
      <c r="Q273" s="33"/>
      <c r="R273" s="31"/>
      <c r="S273" s="32"/>
      <c r="T273" s="33"/>
      <c r="U273" s="33"/>
      <c r="V273" s="31"/>
      <c r="W273" s="32"/>
      <c r="X273" s="23"/>
      <c r="Y273" s="21"/>
      <c r="Z273" s="21"/>
      <c r="AA273" s="22"/>
    </row>
    <row r="274" spans="1:27" s="18" customFormat="1" x14ac:dyDescent="0.3">
      <c r="A274" s="90"/>
      <c r="B274" s="94"/>
      <c r="C274" s="94"/>
      <c r="D274" s="34"/>
      <c r="E274" s="34"/>
      <c r="F274" s="34"/>
      <c r="G274" s="34"/>
      <c r="H274" s="34"/>
      <c r="I274" s="23"/>
      <c r="J274" s="21"/>
      <c r="K274" s="21"/>
      <c r="L274" s="22"/>
      <c r="M274" s="33"/>
      <c r="N274" s="31"/>
      <c r="O274" s="31"/>
      <c r="P274" s="32"/>
      <c r="Q274" s="33"/>
      <c r="R274" s="31"/>
      <c r="S274" s="32"/>
      <c r="T274" s="33"/>
      <c r="U274" s="33"/>
      <c r="V274" s="31"/>
      <c r="W274" s="32"/>
      <c r="X274" s="23"/>
      <c r="Y274" s="21"/>
      <c r="Z274" s="21"/>
      <c r="AA274" s="22"/>
    </row>
    <row r="275" spans="1:27" s="18" customFormat="1" x14ac:dyDescent="0.3">
      <c r="A275" s="90"/>
      <c r="B275" s="94"/>
      <c r="C275" s="94"/>
      <c r="D275" s="34"/>
      <c r="E275" s="34"/>
      <c r="F275" s="34"/>
      <c r="G275" s="34"/>
      <c r="H275" s="34"/>
      <c r="I275" s="23"/>
      <c r="J275" s="21"/>
      <c r="K275" s="21"/>
      <c r="L275" s="22"/>
      <c r="M275" s="33"/>
      <c r="N275" s="31"/>
      <c r="O275" s="31"/>
      <c r="P275" s="32"/>
      <c r="Q275" s="33"/>
      <c r="R275" s="31"/>
      <c r="S275" s="32"/>
      <c r="T275" s="33"/>
      <c r="U275" s="33"/>
      <c r="V275" s="31"/>
      <c r="W275" s="32"/>
      <c r="X275" s="23"/>
      <c r="Y275" s="21"/>
      <c r="Z275" s="21"/>
      <c r="AA275" s="22"/>
    </row>
  </sheetData>
  <mergeCells count="5">
    <mergeCell ref="T1:W1"/>
    <mergeCell ref="M1:P1"/>
    <mergeCell ref="Q1:S1"/>
    <mergeCell ref="X1:AA1"/>
    <mergeCell ref="I1:L1"/>
  </mergeCells>
  <dataValidations count="1">
    <dataValidation type="list" allowBlank="1" showInputMessage="1" showErrorMessage="1" sqref="M10:Q10 M6:Q6 M18:Q18 M30:Q30 M42:Q42 M54:Q54 M66:Q66 M78:Q78 M90:Q90 M102:Q102 M114:Q114 M126:Q126 M138:Q138 M150:Q150 M162:Q162 M174:Q174 M168:Q168 M156:Q156 M144:Q144 M132:Q132 M120:Q120 M108:Q108 M96:Q96 M84:Q84 M72:Q72 M60:Q60 M48:Q48 M36:Q36 M24:Q24 M12:Q12 M4:Q4 M16:Q16 M28:Q28 M40:Q40 M52:Q52 M64:Q64 M76:Q76 M88:Q88 M100:Q100 M112:Q112 M124:Q124 M136:Q136 M148:Q148 M160:Q160 M172:Q172 M178:Q178 M166:Q166 M154:Q154 M142:Q142 M130:Q130 M118:Q118 M106:Q106 M94:Q94 M82:Q82 M70:Q70 M58:Q58 M46:Q46 M34:Q34 M22:Q22 D23:H23 D35:H35 D47:H47 D59:H59 D71:H71 D83:H83 D95:H95 D107:H107 D119:H119 D131:H131 D143:H143 D155:H155 D167:H167 D179:H179 D173:H173 D161:H161 D149:H149 D137:H137 D125:H125 D113:H113 D101:H101 D89:H89 D77:H77 D65:H65 D53:H53 D41:H41 D29:H29 D17:H17 D5:H5 M14:Q14 M26:Q26 M38:Q38 M50:Q50 M62:Q62 M74:Q74 M86:Q86 M98:Q98 M110:Q110 M122:Q122 M134:Q134 M146:Q146 M158:Q158 M170:Q170 M176:Q176 M164:Q164 M152:Q152 M140:Q140 M128:Q128 M116:Q116 M104:Q104 M92:Q92 M80:Q80 M68:Q68 M56:Q56 M44:Q44 M32:Q32 M20:Q20 M8:Q8 D182:H182 D185:H185 D188:H188 D191:H191 D194:H194 D197:H197 D200:H200 D203:H203 D206:H206 D209:H209 D212:H212 D215:H215 D218:H218 D221:H221 D224:H224 D227:H227 D230:H230 D233:H233 D236:H236 D239:H239 D242:H242 D245:H245 D248:H248 D251:H251 D254:H254 D257:H257 D260:H260 D263:H263 D266:H266 D8:H8 D20:H20 D32:H32 D44:H44 D56:H56 D68:H68 D80:H80 D92:H92 D104:H104 D116:H116 D128:H128 D140:H140 D152:H152 D164:H164 D176:H176 D170:H170 D158:H158 D146:H146 D134:H134 D122:H122 D110:H110 D98:H98 D86:H86 D74:H74 D62:H62 D50:H50 D38:H38 D26:H26 D14:H14 D11:H11">
      <formula1>Empleados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Adelanto</vt:lpstr>
      <vt:lpstr>Registro</vt:lpstr>
      <vt:lpstr>listas</vt:lpstr>
      <vt:lpstr>Adelanto!Área_de_impresión</vt:lpstr>
      <vt:lpstr>Registro!Títulos_a_imprimir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Administrador</cp:lastModifiedBy>
  <cp:lastPrinted>2015-04-27T15:30:22Z</cp:lastPrinted>
  <dcterms:created xsi:type="dcterms:W3CDTF">2013-01-24T13:03:25Z</dcterms:created>
  <dcterms:modified xsi:type="dcterms:W3CDTF">2015-04-27T15:33:07Z</dcterms:modified>
</cp:coreProperties>
</file>